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udit Points" sheetId="2" state="visible" r:id="rId4"/>
    <sheet name="Automation Summary" sheetId="3" state="visible" r:id="rId5"/>
    <sheet name="Open-Source Tool Stack" sheetId="4" state="visible" r:id="rId6"/>
  </sheets>
  <definedNames>
    <definedName function="false" hidden="true" localSheetId="1" name="_xlnm._FilterDatabase" vbProcedure="false">'Audit Points'!$A$1:$G$136</definedName>
    <definedName function="false" hidden="true" localSheetId="3" name="_xlnm._FilterDatabase" vbProcedure="false">'Open-Source Tool Stack'!$A$1:$D$29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<sst xmlns="http://schemas.openxmlformats.org/spreadsheetml/2006/main" count="1104" uniqueCount="653">
  <si>
    <t xml:space="preserve">GovUX Audit Platform — Audit Points &amp; Open-Source Automation Coverage</t>
  </si>
  <si>
    <t xml:space="preserve">How much of a government-website audit can be done with Python and open-source tools — with no AI? Most of it.</t>
  </si>
  <si>
    <t xml:space="preserve">How GTmetrix works (and why it needs no AI)</t>
  </si>
  <si>
    <t xml:space="preserve">GTmetrix is a fully deterministic instrument. It loads your page in a REAL Chrome browser from a chosen location ('Observed mode'), runs Google Lighthouse, and reports measured results — it does not model or predict, and uses no machine learning.</t>
  </si>
  <si>
    <t xml:space="preserve">• GTmetrix Grade = a weighted blend of two scores: Performance Score (~70%) and Structure Score (~30%).</t>
  </si>
  <si>
    <t xml:space="preserve">• Performance Score = the Lighthouse performance score: FCP 10%, Speed Index 10%, LCP 25%, TBT 30%, CLS 25% (Lighthouse v10 weights).</t>
  </si>
  <si>
    <t xml:space="preserve">• Structure Score = Lighthouse opportunity + diagnostic audits (unused CSS/JS, image sizing, caching, etc.) plus GTmetrix custom audits.</t>
  </si>
  <si>
    <t xml:space="preserve">• Web Vitals reported: LCP, TBT/INP, CLS, plus a request waterfall from the browser's HAR (HTTP Archive) log.</t>
  </si>
  <si>
    <t xml:space="preserve">You can reproduce ALL of this yourself with open-source tools: Lighthouse (Node CLI), Playwright (headless Chrome), the web-vitals library, and HAR analysis. No licence, no AI.</t>
  </si>
  <si>
    <t xml:space="preserve">What's in this workbook</t>
  </si>
  <si>
    <t xml:space="preserve">• 'Audit Points' — the master, filterable catalogue of ~140 checks across Performance, Accessibility (WCAG 2.2), GIGW 3.0, UX4G, SEO, Security, Mobile and Content QA. Each is mapped to how automatable it is and with which open-source tool.</t>
  </si>
  <si>
    <t xml:space="preserve">• 'Automation Summary' — counts of Full / Partial / Manual coverage per category (live formulas).</t>
  </si>
  <si>
    <t xml:space="preserve">• 'Open-Source Tool Stack' — every tool referenced, what it does, and how to install it.</t>
  </si>
  <si>
    <t xml:space="preserve">Legend — Automation column</t>
  </si>
  <si>
    <t xml:space="preserve">  Full — fully automatable, deterministic (rules or measurement). No human, no AI. This is the bulk of the audit.</t>
  </si>
  <si>
    <t xml:space="preserve">  Partial — detection is automatable, but confirming the result needs human judgement or an ML/LLM assist (e.g. 'alt text is present' is Full; 'alt text is meaningful' is Partial).</t>
  </si>
  <si>
    <t xml:space="preserve">  Manual — genuinely needs a human (optionally LLM/VLM-assisted): screen-reader testing, clarity of language, logical reading order, real usability.</t>
  </si>
  <si>
    <t xml:space="preserve">Technique — Measure = browser/network measurement · Rule = deterministic DOM/HTTP check · ML/CV = classical machine-learning or computer vision · LLM/VLM = language/vision model · Human = expert review.</t>
  </si>
  <si>
    <t xml:space="preserve">ID</t>
  </si>
  <si>
    <t xml:space="preserve">Category</t>
  </si>
  <si>
    <t xml:space="preserve">Audit point</t>
  </si>
  <si>
    <t xml:space="preserve">What it checks</t>
  </si>
  <si>
    <t xml:space="preserve">Automation</t>
  </si>
  <si>
    <t xml:space="preserve">Technique</t>
  </si>
  <si>
    <t xml:space="preserve">Python / open-source tool</t>
  </si>
  <si>
    <t xml:space="preserve">P01</t>
  </si>
  <si>
    <t xml:space="preserve">Performance</t>
  </si>
  <si>
    <t xml:space="preserve">Largest Contentful Paint (LCP)</t>
  </si>
  <si>
    <t xml:space="preserve">Time to render the largest visible element</t>
  </si>
  <si>
    <t xml:space="preserve">Full</t>
  </si>
  <si>
    <t xml:space="preserve">Measure</t>
  </si>
  <si>
    <t xml:space="preserve">Lighthouse; Playwright + web-vitals</t>
  </si>
  <si>
    <t xml:space="preserve">P02</t>
  </si>
  <si>
    <t xml:space="preserve">First Contentful Paint (FCP)</t>
  </si>
  <si>
    <t xml:space="preserve">Time to first text/image paint</t>
  </si>
  <si>
    <t xml:space="preserve">Lighthouse</t>
  </si>
  <si>
    <t xml:space="preserve">P03</t>
  </si>
  <si>
    <t xml:space="preserve">Total Blocking Time (TBT)</t>
  </si>
  <si>
    <t xml:space="preserve">Main-thread blocking between FCP and TTI</t>
  </si>
  <si>
    <t xml:space="preserve">P04</t>
  </si>
  <si>
    <t xml:space="preserve">Interaction to Next Paint (INP)</t>
  </si>
  <si>
    <t xml:space="preserve">Responsiveness to user input</t>
  </si>
  <si>
    <t xml:space="preserve">web-vitals; CrUX API (field)</t>
  </si>
  <si>
    <t xml:space="preserve">P05</t>
  </si>
  <si>
    <t xml:space="preserve">Cumulative Layout Shift (CLS)</t>
  </si>
  <si>
    <t xml:space="preserve">Visual stability / unexpected shifts</t>
  </si>
  <si>
    <t xml:space="preserve">Lighthouse; web-vitals</t>
  </si>
  <si>
    <t xml:space="preserve">P06</t>
  </si>
  <si>
    <t xml:space="preserve">Speed Index</t>
  </si>
  <si>
    <t xml:space="preserve">How quickly content is visually populated</t>
  </si>
  <si>
    <t xml:space="preserve">P07</t>
  </si>
  <si>
    <t xml:space="preserve">Time to First Byte (TTFB)</t>
  </si>
  <si>
    <t xml:space="preserve">Server response latency</t>
  </si>
  <si>
    <t xml:space="preserve">requests/httpx; Lighthouse</t>
  </si>
  <si>
    <t xml:space="preserve">P08</t>
  </si>
  <si>
    <t xml:space="preserve">Time to Interactive (TTI)</t>
  </si>
  <si>
    <t xml:space="preserve">When the page becomes reliably interactive</t>
  </si>
  <si>
    <t xml:space="preserve">P09</t>
  </si>
  <si>
    <t xml:space="preserve">Fully loaded time / onload</t>
  </si>
  <si>
    <t xml:space="preserve">Total page load duration</t>
  </si>
  <si>
    <t xml:space="preserve">Playwright timing API</t>
  </si>
  <si>
    <t xml:space="preserve">P10</t>
  </si>
  <si>
    <t xml:space="preserve">Total page weight (bytes)</t>
  </si>
  <si>
    <t xml:space="preserve">Sum of all transferred bytes</t>
  </si>
  <si>
    <t xml:space="preserve">HAR analysis (Playwright/browsermob)</t>
  </si>
  <si>
    <t xml:space="preserve">P11</t>
  </si>
  <si>
    <t xml:space="preserve">Number of HTTP requests</t>
  </si>
  <si>
    <t xml:space="preserve">Count of resource requests</t>
  </si>
  <si>
    <t xml:space="preserve">HAR analysis</t>
  </si>
  <si>
    <t xml:space="preserve">P12</t>
  </si>
  <si>
    <t xml:space="preserve">Render-blocking resources</t>
  </si>
  <si>
    <t xml:space="preserve">CSS/JS blocking first paint</t>
  </si>
  <si>
    <t xml:space="preserve">Rule</t>
  </si>
  <si>
    <t xml:space="preserve">Lighthouse audit</t>
  </si>
  <si>
    <t xml:space="preserve">P13</t>
  </si>
  <si>
    <t xml:space="preserve">Unused CSS / JavaScript</t>
  </si>
  <si>
    <t xml:space="preserve">Dead code shipped to the browser</t>
  </si>
  <si>
    <t xml:space="preserve">Lighthouse coverage</t>
  </si>
  <si>
    <t xml:space="preserve">P14</t>
  </si>
  <si>
    <t xml:space="preserve">Image optimisation / next-gen formats</t>
  </si>
  <si>
    <t xml:space="preserve">Oversized/uncompressed images; WebP/AVIF</t>
  </si>
  <si>
    <t xml:space="preserve">Lighthouse; Pillow</t>
  </si>
  <si>
    <t xml:space="preserve">P15</t>
  </si>
  <si>
    <t xml:space="preserve">Text compression (gzip/brotli)</t>
  </si>
  <si>
    <t xml:space="preserve">Compression enabled on responses</t>
  </si>
  <si>
    <t xml:space="preserve">requests/httpx (headers)</t>
  </si>
  <si>
    <t xml:space="preserve">P16</t>
  </si>
  <si>
    <t xml:space="preserve">Caching policy (Cache-Control)</t>
  </si>
  <si>
    <t xml:space="preserve">Static assets cached with sane TTLs</t>
  </si>
  <si>
    <t xml:space="preserve">P17</t>
  </si>
  <si>
    <t xml:space="preserve">Minification (CSS/JS/HTML)</t>
  </si>
  <si>
    <t xml:space="preserve">Assets minified</t>
  </si>
  <si>
    <t xml:space="preserve">Lighthouse; csscompressor/rjsmin</t>
  </si>
  <si>
    <t xml:space="preserve">P18</t>
  </si>
  <si>
    <t xml:space="preserve">CDN usage</t>
  </si>
  <si>
    <t xml:space="preserve">Assets served via a CDN/edge</t>
  </si>
  <si>
    <t xml:space="preserve">header/DNS inspection</t>
  </si>
  <si>
    <t xml:space="preserve">P19</t>
  </si>
  <si>
    <t xml:space="preserve">HTTP/2 or HTTP/3</t>
  </si>
  <si>
    <t xml:space="preserve">Modern transport protocol in use</t>
  </si>
  <si>
    <t xml:space="preserve">httpx; curl</t>
  </si>
  <si>
    <t xml:space="preserve">P20</t>
  </si>
  <si>
    <t xml:space="preserve">Redirect chains</t>
  </si>
  <si>
    <t xml:space="preserve">Extra hops before final page</t>
  </si>
  <si>
    <t xml:space="preserve">requests (history)</t>
  </si>
  <si>
    <t xml:space="preserve">P21</t>
  </si>
  <si>
    <t xml:space="preserve">Excessive DOM size</t>
  </si>
  <si>
    <t xml:space="preserve">Node count harming render</t>
  </si>
  <si>
    <t xml:space="preserve">Lighthouse; lxml node count</t>
  </si>
  <si>
    <t xml:space="preserve">P22</t>
  </si>
  <si>
    <t xml:space="preserve">Lazy-loading of offscreen images</t>
  </si>
  <si>
    <t xml:space="preserve">loading=lazy on below-fold images</t>
  </si>
  <si>
    <t xml:space="preserve">BeautifulSoup/lxml</t>
  </si>
  <si>
    <t xml:space="preserve">P23</t>
  </si>
  <si>
    <t xml:space="preserve">Font loading strategy</t>
  </si>
  <si>
    <t xml:space="preserve">font-display: swap; preloaded fonts</t>
  </si>
  <si>
    <t xml:space="preserve">CSS parse (tinycss2)</t>
  </si>
  <si>
    <t xml:space="preserve">P24</t>
  </si>
  <si>
    <t xml:space="preserve">Third-party script impact</t>
  </si>
  <si>
    <t xml:space="preserve">Weight/time from third parties</t>
  </si>
  <si>
    <t xml:space="preserve">HAR grouping</t>
  </si>
  <si>
    <t xml:space="preserve">P25</t>
  </si>
  <si>
    <t xml:space="preserve">Request waterfall / resource timing</t>
  </si>
  <si>
    <t xml:space="preserve">Per-resource timing breakdown</t>
  </si>
  <si>
    <t xml:space="preserve">HAR (Playwright)</t>
  </si>
  <si>
    <t xml:space="preserve">A01</t>
  </si>
  <si>
    <t xml:space="preserve">Accessibility</t>
  </si>
  <si>
    <t xml:space="preserve">Colour contrast (1.4.3)</t>
  </si>
  <si>
    <t xml:space="preserve">Text/background contrast &gt;= 4.5:1</t>
  </si>
  <si>
    <t xml:space="preserve">axe-core; custom WCAG contrast calc</t>
  </si>
  <si>
    <t xml:space="preserve">A02</t>
  </si>
  <si>
    <t xml:space="preserve">Images have alt attribute (1.1.1)</t>
  </si>
  <si>
    <t xml:space="preserve">Presence of alt text</t>
  </si>
  <si>
    <t xml:space="preserve">axe-core</t>
  </si>
  <si>
    <t xml:space="preserve">A03</t>
  </si>
  <si>
    <t xml:space="preserve">Alt text is meaningful (1.1.1)</t>
  </si>
  <si>
    <t xml:space="preserve">Whether alt describes the image</t>
  </si>
  <si>
    <t xml:space="preserve">Partial</t>
  </si>
  <si>
    <t xml:space="preserve">LLM/VLM</t>
  </si>
  <si>
    <t xml:space="preserve">VLM (Qwen-VL/Llama-Vision) + human</t>
  </si>
  <si>
    <t xml:space="preserve">A04</t>
  </si>
  <si>
    <t xml:space="preserve">Form fields have labels (3.3.2/4.1.2)</t>
  </si>
  <si>
    <t xml:space="preserve">Programmatic labels on inputs</t>
  </si>
  <si>
    <t xml:space="preserve">A05</t>
  </si>
  <si>
    <t xml:space="preserve">Document has lang attribute (3.1.1)</t>
  </si>
  <si>
    <t xml:space="preserve">html lang set correctly</t>
  </si>
  <si>
    <t xml:space="preserve">A06</t>
  </si>
  <si>
    <t xml:space="preserve">Page has descriptive title (2.4.2)</t>
  </si>
  <si>
    <t xml:space="preserve">Non-empty, descriptive title</t>
  </si>
  <si>
    <t xml:space="preserve">axe-core; lxml</t>
  </si>
  <si>
    <t xml:space="preserve">A07</t>
  </si>
  <si>
    <t xml:space="preserve">Heading structure (1.3.1)</t>
  </si>
  <si>
    <t xml:space="preserve">Logical, no skipped levels</t>
  </si>
  <si>
    <t xml:space="preserve">A08</t>
  </si>
  <si>
    <t xml:space="preserve">Valid ARIA roles/attributes (4.1.2)</t>
  </si>
  <si>
    <t xml:space="preserve">ARIA used correctly</t>
  </si>
  <si>
    <t xml:space="preserve">A09</t>
  </si>
  <si>
    <t xml:space="preserve">Links have discernible name (2.4.4)</t>
  </si>
  <si>
    <t xml:space="preserve">Link has accessible text</t>
  </si>
  <si>
    <t xml:space="preserve">A10</t>
  </si>
  <si>
    <t xml:space="preserve">Link text is descriptive (2.4.4)</t>
  </si>
  <si>
    <t xml:space="preserve">Avoid 'click here'/'read more'</t>
  </si>
  <si>
    <t xml:space="preserve">LLM</t>
  </si>
  <si>
    <t xml:space="preserve">rule heuristic + LLM</t>
  </si>
  <si>
    <t xml:space="preserve">A11</t>
  </si>
  <si>
    <t xml:space="preserve">Buttons/controls have names (4.1.2)</t>
  </si>
  <si>
    <t xml:space="preserve">Accessible name on controls</t>
  </si>
  <si>
    <t xml:space="preserve">A12</t>
  </si>
  <si>
    <t xml:space="preserve">Data tables have headers (1.3.1)</t>
  </si>
  <si>
    <t xml:space="preserve">th/scope present</t>
  </si>
  <si>
    <t xml:space="preserve">A13</t>
  </si>
  <si>
    <t xml:space="preserve">Landmark regions present (1.3.1)</t>
  </si>
  <si>
    <t xml:space="preserve">header/nav/main/footer roles</t>
  </si>
  <si>
    <t xml:space="preserve">A14</t>
  </si>
  <si>
    <t xml:space="preserve">Zoom not disabled (1.4.4)</t>
  </si>
  <si>
    <t xml:space="preserve">viewport allows scaling</t>
  </si>
  <si>
    <t xml:space="preserve">lxml (meta viewport)</t>
  </si>
  <si>
    <t xml:space="preserve">A15</t>
  </si>
  <si>
    <t xml:space="preserve">Target size &gt;= 24px (2.5.8 new)</t>
  </si>
  <si>
    <t xml:space="preserve">Tap/click target geometry</t>
  </si>
  <si>
    <t xml:space="preserve">Playwright bounding boxes</t>
  </si>
  <si>
    <t xml:space="preserve">A16</t>
  </si>
  <si>
    <t xml:space="preserve">Focus visible &amp; not obscured (2.4.11 new)</t>
  </si>
  <si>
    <t xml:space="preserve">Visible focus indicator</t>
  </si>
  <si>
    <t xml:space="preserve">Rule/Human</t>
  </si>
  <si>
    <t xml:space="preserve">Playwright + manual</t>
  </si>
  <si>
    <t xml:space="preserve">A17</t>
  </si>
  <si>
    <t xml:space="preserve">Keyboard operable (2.1.1)</t>
  </si>
  <si>
    <t xml:space="preserve">All functions via keyboard</t>
  </si>
  <si>
    <t xml:space="preserve">Playwright tab-walk + manual</t>
  </si>
  <si>
    <t xml:space="preserve">A18</t>
  </si>
  <si>
    <t xml:space="preserve">No keyboard trap (2.1.2)</t>
  </si>
  <si>
    <t xml:space="preserve">Focus can move away</t>
  </si>
  <si>
    <t xml:space="preserve">A19</t>
  </si>
  <si>
    <t xml:space="preserve">Reading/focus order logical (1.3.2/2.4.3)</t>
  </si>
  <si>
    <t xml:space="preserve">Meaningful sequence</t>
  </si>
  <si>
    <t xml:space="preserve">Manual</t>
  </si>
  <si>
    <t xml:space="preserve">Human</t>
  </si>
  <si>
    <t xml:space="preserve">screen-reader review (NVDA)</t>
  </si>
  <si>
    <t xml:space="preserve">A20</t>
  </si>
  <si>
    <t xml:space="preserve">Error identification &amp; suggestion (3.3.1/3.3.3)</t>
  </si>
  <si>
    <t xml:space="preserve">Errors clear and helpful</t>
  </si>
  <si>
    <t xml:space="preserve">LLM/Human</t>
  </si>
  <si>
    <t xml:space="preserve">LLM assist + manual</t>
  </si>
  <si>
    <t xml:space="preserve">A21</t>
  </si>
  <si>
    <t xml:space="preserve">Captions/transcripts for media (1.2.x)</t>
  </si>
  <si>
    <t xml:space="preserve">Presence of captions</t>
  </si>
  <si>
    <t xml:space="preserve">DOM check (track elements)</t>
  </si>
  <si>
    <t xml:space="preserve">A22</t>
  </si>
  <si>
    <t xml:space="preserve">Caption quality/accuracy (1.2.x)</t>
  </si>
  <si>
    <t xml:space="preserve">Captions actually correct</t>
  </si>
  <si>
    <t xml:space="preserve">manual review</t>
  </si>
  <si>
    <t xml:space="preserve">A23</t>
  </si>
  <si>
    <t xml:space="preserve">Consistent navigation (3.2.3)</t>
  </si>
  <si>
    <t xml:space="preserve">Nav consistent across pages</t>
  </si>
  <si>
    <t xml:space="preserve">cross-page DOM diff</t>
  </si>
  <si>
    <t xml:space="preserve">A24</t>
  </si>
  <si>
    <t xml:space="preserve">Accessible authentication (3.3.8 new)</t>
  </si>
  <si>
    <t xml:space="preserve">No cognitive-only login test</t>
  </si>
  <si>
    <t xml:space="preserve">A25</t>
  </si>
  <si>
    <t xml:space="preserve">Content on hover/focus dismissible (1.4.13)</t>
  </si>
  <si>
    <t xml:space="preserve">Tooltips dismissible/persistent</t>
  </si>
  <si>
    <t xml:space="preserve">A26</t>
  </si>
  <si>
    <t xml:space="preserve">Screen-reader compatibility</t>
  </si>
  <si>
    <t xml:space="preserve">Works with NVDA/JAWS/TalkBack</t>
  </si>
  <si>
    <t xml:space="preserve">assistive-tech testing</t>
  </si>
  <si>
    <t xml:space="preserve">G01</t>
  </si>
  <si>
    <t xml:space="preserve">GIGW 3.0</t>
  </si>
  <si>
    <t xml:space="preserve">Contact information present</t>
  </si>
  <si>
    <t xml:space="preserve">Address/phone/email on site</t>
  </si>
  <si>
    <t xml:space="preserve">G02</t>
  </si>
  <si>
    <t xml:space="preserve">'Last Updated' date shown</t>
  </si>
  <si>
    <t xml:space="preserve">Freshness stamp per page</t>
  </si>
  <si>
    <t xml:space="preserve">regex/DOM</t>
  </si>
  <si>
    <t xml:space="preserve">G03</t>
  </si>
  <si>
    <t xml:space="preserve">Copyright policy page</t>
  </si>
  <si>
    <t xml:space="preserve">Mandatory policy present</t>
  </si>
  <si>
    <t xml:space="preserve">link/keyword crawl</t>
  </si>
  <si>
    <t xml:space="preserve">G04</t>
  </si>
  <si>
    <t xml:space="preserve">Hyperlinking policy</t>
  </si>
  <si>
    <t xml:space="preserve">G05</t>
  </si>
  <si>
    <t xml:space="preserve">Terms &amp; conditions</t>
  </si>
  <si>
    <t xml:space="preserve">G06</t>
  </si>
  <si>
    <t xml:space="preserve">Privacy policy</t>
  </si>
  <si>
    <t xml:space="preserve">G07</t>
  </si>
  <si>
    <t xml:space="preserve">Accessibility statement</t>
  </si>
  <si>
    <t xml:space="preserve">Statement present &amp; linked</t>
  </si>
  <si>
    <t xml:space="preserve">G08</t>
  </si>
  <si>
    <t xml:space="preserve">Website policies index</t>
  </si>
  <si>
    <t xml:space="preserve">Consolidated policies page</t>
  </si>
  <si>
    <t xml:space="preserve">link crawl</t>
  </si>
  <si>
    <t xml:space="preserve">G09</t>
  </si>
  <si>
    <t xml:space="preserve">Help / FAQ section</t>
  </si>
  <si>
    <t xml:space="preserve">Help available</t>
  </si>
  <si>
    <t xml:space="preserve">G10</t>
  </si>
  <si>
    <t xml:space="preserve">Sitemap present</t>
  </si>
  <si>
    <t xml:space="preserve">HTML + XML sitemap</t>
  </si>
  <si>
    <t xml:space="preserve">requests (sitemap.xml)</t>
  </si>
  <si>
    <t xml:space="preserve">G11</t>
  </si>
  <si>
    <t xml:space="preserve">Search facility</t>
  </si>
  <si>
    <t xml:space="preserve">Site search present</t>
  </si>
  <si>
    <t xml:space="preserve">DOM (search input)</t>
  </si>
  <si>
    <t xml:space="preserve">G12</t>
  </si>
  <si>
    <t xml:space="preserve">Feedback mechanism</t>
  </si>
  <si>
    <t xml:space="preserve">Feedback/contact form</t>
  </si>
  <si>
    <t xml:space="preserve">DOM/link crawl</t>
  </si>
  <si>
    <t xml:space="preserve">G13</t>
  </si>
  <si>
    <t xml:space="preserve">RTI link</t>
  </si>
  <si>
    <t xml:space="preserve">Right to Information link</t>
  </si>
  <si>
    <t xml:space="preserve">keyword/link crawl</t>
  </si>
  <si>
    <t xml:space="preserve">G14</t>
  </si>
  <si>
    <t xml:space="preserve">National identity / emblem</t>
  </si>
  <si>
    <t xml:space="preserve">GoI emblem &amp; standard identity</t>
  </si>
  <si>
    <t xml:space="preserve">Rule/CV</t>
  </si>
  <si>
    <t xml:space="preserve">image match + manual</t>
  </si>
  <si>
    <t xml:space="preserve">G15</t>
  </si>
  <si>
    <t xml:space="preserve">Language / multilingual option</t>
  </si>
  <si>
    <t xml:space="preserve">Language switcher present</t>
  </si>
  <si>
    <t xml:space="preserve">DOM</t>
  </si>
  <si>
    <t xml:space="preserve">G16</t>
  </si>
  <si>
    <t xml:space="preserve">Consistent header &amp; footer</t>
  </si>
  <si>
    <t xml:space="preserve">Standard masthead/footer</t>
  </si>
  <si>
    <t xml:space="preserve">G17</t>
  </si>
  <si>
    <t xml:space="preserve">Valid HTML (W3C)</t>
  </si>
  <si>
    <t xml:space="preserve">Standards-conformant markup</t>
  </si>
  <si>
    <t xml:space="preserve">Nu Html Checker (vnu)</t>
  </si>
  <si>
    <t xml:space="preserve">G18</t>
  </si>
  <si>
    <t xml:space="preserve">No broken links</t>
  </si>
  <si>
    <t xml:space="preserve">Internal/external links resolve</t>
  </si>
  <si>
    <t xml:space="preserve">requests/Scrapy link crawler</t>
  </si>
  <si>
    <t xml:space="preserve">G19</t>
  </si>
  <si>
    <t xml:space="preserve">Metadata (title/description)</t>
  </si>
  <si>
    <t xml:space="preserve">Page metadata present</t>
  </si>
  <si>
    <t xml:space="preserve">lxml</t>
  </si>
  <si>
    <t xml:space="preserve">G20</t>
  </si>
  <si>
    <t xml:space="preserve">Mobile responsive</t>
  </si>
  <si>
    <t xml:space="preserve">Responsive viewport &amp; layout</t>
  </si>
  <si>
    <t xml:space="preserve">Lighthouse; meta viewport</t>
  </si>
  <si>
    <t xml:space="preserve">G21</t>
  </si>
  <si>
    <t xml:space="preserve">HTTPS / secure site</t>
  </si>
  <si>
    <t xml:space="preserve">Served over TLS</t>
  </si>
  <si>
    <t xml:space="preserve">requests/ssl</t>
  </si>
  <si>
    <t xml:space="preserve">G22</t>
  </si>
  <si>
    <t xml:space="preserve">Domain compliance (.gov.in/.nic.in)</t>
  </si>
  <si>
    <t xml:space="preserve">Approved TLD</t>
  </si>
  <si>
    <t xml:space="preserve">string check</t>
  </si>
  <si>
    <t xml:space="preserve">G23</t>
  </si>
  <si>
    <t xml:space="preserve">Standard document formats</t>
  </si>
  <si>
    <t xml:space="preserve">Downloads in open/standard formats</t>
  </si>
  <si>
    <t xml:space="preserve">MIME sniff + manual</t>
  </si>
  <si>
    <t xml:space="preserve">G24</t>
  </si>
  <si>
    <t xml:space="preserve">PDF/document accessibility</t>
  </si>
  <si>
    <t xml:space="preserve">Tagged, readable PDFs</t>
  </si>
  <si>
    <t xml:space="preserve">pikepdf/pdfix checks + manual</t>
  </si>
  <si>
    <t xml:space="preserve">G25</t>
  </si>
  <si>
    <t xml:space="preserve">No 'under construction' pages</t>
  </si>
  <si>
    <t xml:space="preserve">Live, complete pages</t>
  </si>
  <si>
    <t xml:space="preserve">keyword heuristic</t>
  </si>
  <si>
    <t xml:space="preserve">G26</t>
  </si>
  <si>
    <t xml:space="preserve">Standard date format</t>
  </si>
  <si>
    <t xml:space="preserve">Consistent dd/mm/yyyy etc.</t>
  </si>
  <si>
    <t xml:space="preserve">regex</t>
  </si>
  <si>
    <t xml:space="preserve">G27</t>
  </si>
  <si>
    <t xml:space="preserve">Print-friendly pages</t>
  </si>
  <si>
    <t xml:space="preserve">Print stylesheet present</t>
  </si>
  <si>
    <t xml:space="preserve">CSS media query check</t>
  </si>
  <si>
    <t xml:space="preserve">G28</t>
  </si>
  <si>
    <t xml:space="preserve">Content quality / plain language</t>
  </si>
  <si>
    <t xml:space="preserve">Clear, jargon-free content</t>
  </si>
  <si>
    <t xml:space="preserve">LLM (RAG on GIGW) + human</t>
  </si>
  <si>
    <t xml:space="preserve">G29</t>
  </si>
  <si>
    <t xml:space="preserve">Information architecture</t>
  </si>
  <si>
    <t xml:space="preserve">Logical, shallow IA</t>
  </si>
  <si>
    <t xml:space="preserve">expert review</t>
  </si>
  <si>
    <t xml:space="preserve">G30</t>
  </si>
  <si>
    <t xml:space="preserve">STQC certification readiness</t>
  </si>
  <si>
    <t xml:space="preserve">Evidence pack for certification</t>
  </si>
  <si>
    <t xml:space="preserve">process/manual</t>
  </si>
  <si>
    <t xml:space="preserve">G31</t>
  </si>
  <si>
    <t xml:space="preserve">Security audit (CERT-In)</t>
  </si>
  <si>
    <t xml:space="preserve">Full security compliance</t>
  </si>
  <si>
    <t xml:space="preserve">VAPT (separate)</t>
  </si>
  <si>
    <t xml:space="preserve">U01</t>
  </si>
  <si>
    <t xml:space="preserve">UX4G</t>
  </si>
  <si>
    <t xml:space="preserve">Navigation clarity &amp; menu structure</t>
  </si>
  <si>
    <t xml:space="preserve">Intuitive, consistent nav</t>
  </si>
  <si>
    <t xml:space="preserve">Rule/LLM</t>
  </si>
  <si>
    <t xml:space="preserve">DOM depth + LLM/manual</t>
  </si>
  <si>
    <t xml:space="preserve">U02</t>
  </si>
  <si>
    <t xml:space="preserve">Breadcrumbs present</t>
  </si>
  <si>
    <t xml:space="preserve">Wayfinding on deep pages</t>
  </si>
  <si>
    <t xml:space="preserve">U03</t>
  </si>
  <si>
    <t xml:space="preserve">Design-system component adherence</t>
  </si>
  <si>
    <t xml:space="preserve">Uses UX4G/standard components</t>
  </si>
  <si>
    <t xml:space="preserve">DOM class + visual diff</t>
  </si>
  <si>
    <t xml:space="preserve">U04</t>
  </si>
  <si>
    <t xml:space="preserve">Visual hierarchy &amp; whitespace</t>
  </si>
  <si>
    <t xml:space="preserve">Scannable, uncluttered layout</t>
  </si>
  <si>
    <t xml:space="preserve">VLM/Human</t>
  </si>
  <si>
    <t xml:space="preserve">VLM on screenshot + manual</t>
  </si>
  <si>
    <t xml:space="preserve">U05</t>
  </si>
  <si>
    <t xml:space="preserve">Typography consistency</t>
  </si>
  <si>
    <t xml:space="preserve">Consistent, legible type scale</t>
  </si>
  <si>
    <t xml:space="preserve">CSS parse</t>
  </si>
  <si>
    <t xml:space="preserve">U06</t>
  </si>
  <si>
    <t xml:space="preserve">Colour palette consistency</t>
  </si>
  <si>
    <t xml:space="preserve">Consistent, on-brand palette</t>
  </si>
  <si>
    <t xml:space="preserve">CV/Rule</t>
  </si>
  <si>
    <t xml:space="preserve">screenshot colour analysis</t>
  </si>
  <si>
    <t xml:space="preserve">U07</t>
  </si>
  <si>
    <t xml:space="preserve">Clear calls-to-action</t>
  </si>
  <si>
    <t xml:space="preserve">Prominent, obvious primary CTA</t>
  </si>
  <si>
    <t xml:space="preserve">VLM + manual</t>
  </si>
  <si>
    <t xml:space="preserve">U08</t>
  </si>
  <si>
    <t xml:space="preserve">Form usability</t>
  </si>
  <si>
    <t xml:space="preserve">Few fields, inline validation, help</t>
  </si>
  <si>
    <t xml:space="preserve">DOM heuristics + manual</t>
  </si>
  <si>
    <t xml:space="preserve">U09</t>
  </si>
  <si>
    <t xml:space="preserve">Search usability</t>
  </si>
  <si>
    <t xml:space="preserve">Autocomplete, tolerant, no dead-ends</t>
  </si>
  <si>
    <t xml:space="preserve">query probes + manual</t>
  </si>
  <si>
    <t xml:space="preserve">U10</t>
  </si>
  <si>
    <t xml:space="preserve">Mobile ergonomics / tap targets</t>
  </si>
  <si>
    <t xml:space="preserve">Thumb-friendly on mobile</t>
  </si>
  <si>
    <t xml:space="preserve">Playwright geometry</t>
  </si>
  <si>
    <t xml:space="preserve">U11</t>
  </si>
  <si>
    <t xml:space="preserve">Readability / reading level</t>
  </si>
  <si>
    <t xml:space="preserve">Plain, appropriate reading level</t>
  </si>
  <si>
    <t xml:space="preserve">textstat; Indic NLP</t>
  </si>
  <si>
    <t xml:space="preserve">U12</t>
  </si>
  <si>
    <t xml:space="preserve">Content clarity</t>
  </si>
  <si>
    <t xml:space="preserve">Genuinely understandable content</t>
  </si>
  <si>
    <t xml:space="preserve">LLM + human</t>
  </si>
  <si>
    <t xml:space="preserve">U13</t>
  </si>
  <si>
    <t xml:space="preserve">Error handling &amp; feedback</t>
  </si>
  <si>
    <t xml:space="preserve">Helpful states and messages</t>
  </si>
  <si>
    <t xml:space="preserve">DOM + manual</t>
  </si>
  <si>
    <t xml:space="preserve">U14</t>
  </si>
  <si>
    <t xml:space="preserve">Loading / skeleton states</t>
  </si>
  <si>
    <t xml:space="preserve">Perceived-performance cues</t>
  </si>
  <si>
    <t xml:space="preserve">U15</t>
  </si>
  <si>
    <t xml:space="preserve">Trust &amp; credibility signals</t>
  </si>
  <si>
    <t xml:space="preserve">Secure, official, contactable</t>
  </si>
  <si>
    <t xml:space="preserve">U16</t>
  </si>
  <si>
    <t xml:space="preserve">Cross-page consistency</t>
  </si>
  <si>
    <t xml:space="preserve">Consistent patterns site-wide</t>
  </si>
  <si>
    <t xml:space="preserve">DOM/visual diff</t>
  </si>
  <si>
    <t xml:space="preserve">U17</t>
  </si>
  <si>
    <t xml:space="preserve">Onboarding &amp; guidance</t>
  </si>
  <si>
    <t xml:space="preserve">First-time-user support</t>
  </si>
  <si>
    <t xml:space="preserve">U18</t>
  </si>
  <si>
    <t xml:space="preserve">Multilingual UX quality</t>
  </si>
  <si>
    <t xml:space="preserve">Indian-language experience</t>
  </si>
  <si>
    <t xml:space="preserve">Bhashini/IndicTrans2 + human</t>
  </si>
  <si>
    <t xml:space="preserve">S01</t>
  </si>
  <si>
    <t xml:space="preserve">SEO</t>
  </si>
  <si>
    <t xml:space="preserve">Title &amp; meta description</t>
  </si>
  <si>
    <t xml:space="preserve">Present, unique, sized</t>
  </si>
  <si>
    <t xml:space="preserve">S02</t>
  </si>
  <si>
    <t xml:space="preserve">Heading tags (H1..)</t>
  </si>
  <si>
    <t xml:space="preserve">Single H1, logical order</t>
  </si>
  <si>
    <t xml:space="preserve">S03</t>
  </si>
  <si>
    <t xml:space="preserve">Canonical tags</t>
  </si>
  <si>
    <t xml:space="preserve">rel=canonical set</t>
  </si>
  <si>
    <t xml:space="preserve">S04</t>
  </si>
  <si>
    <t xml:space="preserve">robots.txt &amp; XML sitemap</t>
  </si>
  <si>
    <t xml:space="preserve">Present and valid</t>
  </si>
  <si>
    <t xml:space="preserve">requests; advertools</t>
  </si>
  <si>
    <t xml:space="preserve">S05</t>
  </si>
  <si>
    <t xml:space="preserve">Structured data (schema.org)</t>
  </si>
  <si>
    <t xml:space="preserve">Valid JSON-LD/microdata</t>
  </si>
  <si>
    <t xml:space="preserve">extruct</t>
  </si>
  <si>
    <t xml:space="preserve">S06</t>
  </si>
  <si>
    <t xml:space="preserve">Open Graph / social tags</t>
  </si>
  <si>
    <t xml:space="preserve">OG/Twitter meta present</t>
  </si>
  <si>
    <t xml:space="preserve">S07</t>
  </si>
  <si>
    <t xml:space="preserve">Indexability / noindex</t>
  </si>
  <si>
    <t xml:space="preserve">Pages indexable as intended</t>
  </si>
  <si>
    <t xml:space="preserve">header/meta check</t>
  </si>
  <si>
    <t xml:space="preserve">S08</t>
  </si>
  <si>
    <t xml:space="preserve">Mobile-friendly</t>
  </si>
  <si>
    <t xml:space="preserve">Passes mobile usability</t>
  </si>
  <si>
    <t xml:space="preserve">Lighthouse SEO</t>
  </si>
  <si>
    <t xml:space="preserve">S09</t>
  </si>
  <si>
    <t xml:space="preserve">Hreflang for languages</t>
  </si>
  <si>
    <t xml:space="preserve">Language targeting correct</t>
  </si>
  <si>
    <t xml:space="preserve">X01</t>
  </si>
  <si>
    <t xml:space="preserve">Security</t>
  </si>
  <si>
    <t xml:space="preserve">HTTPS enforced / HTTP redirect</t>
  </si>
  <si>
    <t xml:space="preserve">http -&gt; https redirect</t>
  </si>
  <si>
    <t xml:space="preserve">requests</t>
  </si>
  <si>
    <t xml:space="preserve">X02</t>
  </si>
  <si>
    <t xml:space="preserve">Valid TLS certificate &amp; expiry</t>
  </si>
  <si>
    <t xml:space="preserve">Cert valid, not expiring</t>
  </si>
  <si>
    <t xml:space="preserve">ssl; sslyze</t>
  </si>
  <si>
    <t xml:space="preserve">X03</t>
  </si>
  <si>
    <t xml:space="preserve">Security headers</t>
  </si>
  <si>
    <t xml:space="preserve">CSP, HSTS, X-Frame, X-Content-Type</t>
  </si>
  <si>
    <t xml:space="preserve">requests; testssl.sh</t>
  </si>
  <si>
    <t xml:space="preserve">X04</t>
  </si>
  <si>
    <t xml:space="preserve">Mixed content</t>
  </si>
  <si>
    <t xml:space="preserve">No http assets on https page</t>
  </si>
  <si>
    <t xml:space="preserve">DOM scan</t>
  </si>
  <si>
    <t xml:space="preserve">X05</t>
  </si>
  <si>
    <t xml:space="preserve">Cookie flags</t>
  </si>
  <si>
    <t xml:space="preserve">Secure/HttpOnly/SameSite set</t>
  </si>
  <si>
    <t xml:space="preserve">requests (Set-Cookie)</t>
  </si>
  <si>
    <t xml:space="preserve">X06</t>
  </si>
  <si>
    <t xml:space="preserve">Known-vulnerable libraries</t>
  </si>
  <si>
    <t xml:space="preserve">Outdated JS libs w/ CVEs</t>
  </si>
  <si>
    <t xml:space="preserve">retire.js</t>
  </si>
  <si>
    <t xml:space="preserve">X07</t>
  </si>
  <si>
    <t xml:space="preserve">Server/version banner exposure</t>
  </si>
  <si>
    <t xml:space="preserve">Info leakage in headers</t>
  </si>
  <si>
    <t xml:space="preserve">X08</t>
  </si>
  <si>
    <t xml:space="preserve">Directory listing exposed</t>
  </si>
  <si>
    <t xml:space="preserve">Open indexes</t>
  </si>
  <si>
    <t xml:space="preserve">requests probes</t>
  </si>
  <si>
    <t xml:space="preserve">X09</t>
  </si>
  <si>
    <t xml:space="preserve">Deep vulnerability / pen test</t>
  </si>
  <si>
    <t xml:space="preserve">Exploitable weaknesses</t>
  </si>
  <si>
    <t xml:space="preserve">VAPT (OWASP ZAP-assisted)</t>
  </si>
  <si>
    <t xml:space="preserve">M01</t>
  </si>
  <si>
    <t xml:space="preserve">Responsiveness &amp; Compatibility</t>
  </si>
  <si>
    <t xml:space="preserve">Responsive viewport meta</t>
  </si>
  <si>
    <t xml:space="preserve">width=device-width present</t>
  </si>
  <si>
    <t xml:space="preserve">M02</t>
  </si>
  <si>
    <t xml:space="preserve">Responsive layout integrity</t>
  </si>
  <si>
    <t xml:space="preserve">No overflow/clipping across 360-1440px breakpoints</t>
  </si>
  <si>
    <t xml:space="preserve">Playwright multi-viewport</t>
  </si>
  <si>
    <t xml:space="preserve">M03</t>
  </si>
  <si>
    <t xml:space="preserve">Content width vs viewport</t>
  </si>
  <si>
    <t xml:space="preserve">No horizontal scroll</t>
  </si>
  <si>
    <t xml:space="preserve">Lighthouse; Playwright</t>
  </si>
  <si>
    <t xml:space="preserve">M04</t>
  </si>
  <si>
    <t xml:space="preserve">Tap target size &amp; spacing</t>
  </si>
  <si>
    <t xml:space="preserve">&gt;=24-48px targets</t>
  </si>
  <si>
    <t xml:space="preserve">M05</t>
  </si>
  <si>
    <t xml:space="preserve">Legible font sizes on mobile</t>
  </si>
  <si>
    <t xml:space="preserve">No tiny text</t>
  </si>
  <si>
    <t xml:space="preserve">Lighthouse; CSS</t>
  </si>
  <si>
    <t xml:space="preserve">M06</t>
  </si>
  <si>
    <t xml:space="preserve">Cross-browser rendering</t>
  </si>
  <si>
    <t xml:space="preserve">Consistent on Chromium/Firefox/WebKit</t>
  </si>
  <si>
    <t xml:space="preserve">Playwright 3 engines + visual diff</t>
  </si>
  <si>
    <t xml:space="preserve">M07</t>
  </si>
  <si>
    <t xml:space="preserve">Cross-device-size rendering</t>
  </si>
  <si>
    <t xml:space="preserve">Correct across device matrix + real DPR</t>
  </si>
  <si>
    <t xml:space="preserve">Playwright device profiles + SSIM</t>
  </si>
  <si>
    <t xml:space="preserve">M08</t>
  </si>
  <si>
    <t xml:space="preserve">Orientation handling</t>
  </si>
  <si>
    <t xml:space="preserve">Portrait &amp; landscape both usable</t>
  </si>
  <si>
    <t xml:space="preserve">Playwright rotate</t>
  </si>
  <si>
    <t xml:space="preserve">M09</t>
  </si>
  <si>
    <t xml:space="preserve">Mobile performance (throttled)</t>
  </si>
  <si>
    <t xml:space="preserve">CWV under 3G/4G profile</t>
  </si>
  <si>
    <t xml:space="preserve">Lighthouse (throttling)</t>
  </si>
  <si>
    <t xml:space="preserve">C01</t>
  </si>
  <si>
    <t xml:space="preserve">Content QA</t>
  </si>
  <si>
    <t xml:space="preserve">Broken links (internal/external)</t>
  </si>
  <si>
    <t xml:space="preserve">404s / dead links</t>
  </si>
  <si>
    <t xml:space="preserve">Scrapy/requests crawler</t>
  </si>
  <si>
    <t xml:space="preserve">C02</t>
  </si>
  <si>
    <t xml:space="preserve">Spelling errors</t>
  </si>
  <si>
    <t xml:space="preserve">Misspellings in content</t>
  </si>
  <si>
    <t xml:space="preserve">LanguageTool; hunspell</t>
  </si>
  <si>
    <t xml:space="preserve">C03</t>
  </si>
  <si>
    <t xml:space="preserve">Grammar issues</t>
  </si>
  <si>
    <t xml:space="preserve">Grammatical errors</t>
  </si>
  <si>
    <t xml:space="preserve">LanguageTool + LLM</t>
  </si>
  <si>
    <t xml:space="preserve">C04</t>
  </si>
  <si>
    <t xml:space="preserve">Readability score</t>
  </si>
  <si>
    <t xml:space="preserve">Reading ease/grade</t>
  </si>
  <si>
    <t xml:space="preserve">textstat</t>
  </si>
  <si>
    <t xml:space="preserve">C05</t>
  </si>
  <si>
    <t xml:space="preserve">Duplicate content</t>
  </si>
  <si>
    <t xml:space="preserve">Repeated pages/blocks</t>
  </si>
  <si>
    <t xml:space="preserve">hashing/simhash</t>
  </si>
  <si>
    <t xml:space="preserve">C06</t>
  </si>
  <si>
    <t xml:space="preserve">Stale / outdated content</t>
  </si>
  <si>
    <t xml:space="preserve">Old dates, expired notices</t>
  </si>
  <si>
    <t xml:space="preserve">regex + manual</t>
  </si>
  <si>
    <t xml:space="preserve">C07</t>
  </si>
  <si>
    <t xml:space="preserve">Indian-language readability</t>
  </si>
  <si>
    <t xml:space="preserve">Reading level in Indic scripts</t>
  </si>
  <si>
    <t xml:space="preserve">ML</t>
  </si>
  <si>
    <t xml:space="preserve">AI4Bharat Indic NLP</t>
  </si>
  <si>
    <t xml:space="preserve">C08</t>
  </si>
  <si>
    <t xml:space="preserve">Placeholder / lorem-ipsum text</t>
  </si>
  <si>
    <t xml:space="preserve">Unfinished content</t>
  </si>
  <si>
    <t xml:space="preserve">keyword scan</t>
  </si>
  <si>
    <t xml:space="preserve">Automation coverage by category</t>
  </si>
  <si>
    <t xml:space="preserve">Full (auto)</t>
  </si>
  <si>
    <t xml:space="preserve">Total</t>
  </si>
  <si>
    <t xml:space="preserve">% Automatable*</t>
  </si>
  <si>
    <t xml:space="preserve">TOTAL</t>
  </si>
  <si>
    <t xml:space="preserve">* % Automatable counts Full as 1 and Partial as 0.5 (detection automatable, confirmation assisted). Manual excluded.</t>
  </si>
  <si>
    <t xml:space="preserve">Read-out: the large majority of a government web audit is fully automatable with open-source tools and NO AI. AI/LLM adds value only on the Partial/Manual rows (semantic accessibility, plain-language, visual UX judgement).</t>
  </si>
  <si>
    <t xml:space="preserve">Tool</t>
  </si>
  <si>
    <t xml:space="preserve">Layer</t>
  </si>
  <si>
    <t xml:space="preserve">What it does</t>
  </si>
  <si>
    <t xml:space="preserve">Language / install</t>
  </si>
  <si>
    <t xml:space="preserve">Playwright</t>
  </si>
  <si>
    <t xml:space="preserve">Crawl &amp; render</t>
  </si>
  <si>
    <t xml:space="preserve">Headless real-Chrome automation, timings, screenshots, HAR</t>
  </si>
  <si>
    <t xml:space="preserve">Python: pip install playwright</t>
  </si>
  <si>
    <t xml:space="preserve">Scrapy</t>
  </si>
  <si>
    <t xml:space="preserve">Crawl</t>
  </si>
  <si>
    <t xml:space="preserve">Scalable crawler for full-site link/URL discovery</t>
  </si>
  <si>
    <t xml:space="preserve">Python: pip install scrapy</t>
  </si>
  <si>
    <t xml:space="preserve">Google Lighthouse</t>
  </si>
  <si>
    <t xml:space="preserve">Performance/SEO/a11y</t>
  </si>
  <si>
    <t xml:space="preserve">The engine behind GTmetrix; perf, a11y, SEO, best-practice audits</t>
  </si>
  <si>
    <t xml:space="preserve">Node: npm i -g lighthouse</t>
  </si>
  <si>
    <t xml:space="preserve">Lighthouse CI</t>
  </si>
  <si>
    <t xml:space="preserve">Run Lighthouse in CI, budgets, trends</t>
  </si>
  <si>
    <t xml:space="preserve">Node: npm i -g @lhci/cli</t>
  </si>
  <si>
    <t xml:space="preserve">web-vitals</t>
  </si>
  <si>
    <t xml:space="preserve">Measures LCP/INP/CLS in-page</t>
  </si>
  <si>
    <t xml:space="preserve">JS library</t>
  </si>
  <si>
    <t xml:space="preserve">CrUX API / pyChrome UX</t>
  </si>
  <si>
    <t xml:space="preserve">Performance (field)</t>
  </si>
  <si>
    <t xml:space="preserve">Real-user Core Web Vitals field data</t>
  </si>
  <si>
    <t xml:space="preserve">HTTP API (key)</t>
  </si>
  <si>
    <t xml:space="preserve">Deterministic WCAG rule engine (~40% of WCAG)</t>
  </si>
  <si>
    <t xml:space="preserve">JS; via Playwright (axe-playwright)</t>
  </si>
  <si>
    <t xml:space="preserve">IBM Equal Access</t>
  </si>
  <si>
    <t xml:space="preserve">Alternative WCAG rule engine</t>
  </si>
  <si>
    <t xml:space="preserve">Node/CLI</t>
  </si>
  <si>
    <t xml:space="preserve">pa11y</t>
  </si>
  <si>
    <t xml:space="preserve">CLI accessibility runner over axe/HTMLCS</t>
  </si>
  <si>
    <t xml:space="preserve">Node: npm i -g pa11y</t>
  </si>
  <si>
    <t xml:space="preserve">BeautifulSoup / lxml</t>
  </si>
  <si>
    <t xml:space="preserve">Rules/parse</t>
  </si>
  <si>
    <t xml:space="preserve">DOM parsing for GIGW element &amp; metadata checks</t>
  </si>
  <si>
    <t xml:space="preserve">Python: pip install beautifulsoup4 lxml</t>
  </si>
  <si>
    <t xml:space="preserve">GIGW/HTML</t>
  </si>
  <si>
    <t xml:space="preserve">W3C HTML validation</t>
  </si>
  <si>
    <t xml:space="preserve">Java jar / Docker</t>
  </si>
  <si>
    <t xml:space="preserve">requests / httpx</t>
  </si>
  <si>
    <t xml:space="preserve">HTTP checks</t>
  </si>
  <si>
    <t xml:space="preserve">Headers, redirects, compression, caching, cookies</t>
  </si>
  <si>
    <t xml:space="preserve">Python: pip install httpx</t>
  </si>
  <si>
    <t xml:space="preserve">ssl / sslyze</t>
  </si>
  <si>
    <t xml:space="preserve">TLS cert validity, protocols, ciphers</t>
  </si>
  <si>
    <t xml:space="preserve">Python: pip install sslyze</t>
  </si>
  <si>
    <t xml:space="preserve">testssl.sh</t>
  </si>
  <si>
    <t xml:space="preserve">TLS &amp; security-header scan</t>
  </si>
  <si>
    <t xml:space="preserve">Shell script</t>
  </si>
  <si>
    <t xml:space="preserve">Detect known-vulnerable JS libraries</t>
  </si>
  <si>
    <t xml:space="preserve">Node: npm i -g retire</t>
  </si>
  <si>
    <t xml:space="preserve">OWASP ZAP</t>
  </si>
  <si>
    <t xml:space="preserve">Assisted DAST for deeper checks (VAPT support)</t>
  </si>
  <si>
    <t xml:space="preserve">Java / Docker</t>
  </si>
  <si>
    <t xml:space="preserve">Extract &amp; validate structured data</t>
  </si>
  <si>
    <t xml:space="preserve">Python: pip install extruct</t>
  </si>
  <si>
    <t xml:space="preserve">advertools</t>
  </si>
  <si>
    <t xml:space="preserve">robots.txt / sitemap / SEO crawl helpers</t>
  </si>
  <si>
    <t xml:space="preserve">Python: pip install advertools</t>
  </si>
  <si>
    <t xml:space="preserve">Pillow</t>
  </si>
  <si>
    <t xml:space="preserve">Image size/format optimisation checks</t>
  </si>
  <si>
    <t xml:space="preserve">Python: pip install pillow</t>
  </si>
  <si>
    <t xml:space="preserve">Content/UX</t>
  </si>
  <si>
    <t xml:space="preserve">Readability scores (Flesch etc.)</t>
  </si>
  <si>
    <t xml:space="preserve">Python: pip install textstat</t>
  </si>
  <si>
    <t xml:space="preserve">LanguageTool</t>
  </si>
  <si>
    <t xml:space="preserve">Content</t>
  </si>
  <si>
    <t xml:space="preserve">Spelling &amp; grammar checking</t>
  </si>
  <si>
    <t xml:space="preserve">Java/Python wrapper</t>
  </si>
  <si>
    <t xml:space="preserve">hunspell</t>
  </si>
  <si>
    <t xml:space="preserve">Spell-checking (many locales)</t>
  </si>
  <si>
    <t xml:space="preserve">C lib / pyhunspell</t>
  </si>
  <si>
    <t xml:space="preserve">AI4Bharat Indic NLP / IndicTrans2</t>
  </si>
  <si>
    <t xml:space="preserve">Multilingual</t>
  </si>
  <si>
    <t xml:space="preserve">Indic tokenisation, translation, readability</t>
  </si>
  <si>
    <t xml:space="preserve">Python; open weights</t>
  </si>
  <si>
    <t xml:space="preserve">Bhashini APIs</t>
  </si>
  <si>
    <t xml:space="preserve">GoI language DPI: ASR/TTS/NMT for 22 languages</t>
  </si>
  <si>
    <t xml:space="preserve">HTTP API (MeitY)</t>
  </si>
  <si>
    <t xml:space="preserve">scikit-learn / XGBoost</t>
  </si>
  <si>
    <t xml:space="preserve">Prioritisation, classification, regression detection</t>
  </si>
  <si>
    <t xml:space="preserve">Python: pip install scikit-learn xgboost</t>
  </si>
  <si>
    <t xml:space="preserve">Open-weight VLM (Qwen-VL / Llama-Vision)</t>
  </si>
  <si>
    <t xml:space="preserve">Semantic a11y &amp; visual UX judgement (self-hosted)</t>
  </si>
  <si>
    <t xml:space="preserve">Python; vLLM/TGI on GPU</t>
  </si>
  <si>
    <t xml:space="preserve">Celery + Redis / Temporal</t>
  </si>
  <si>
    <t xml:space="preserve">Orchestration</t>
  </si>
  <si>
    <t xml:space="preserve">Queue &amp; scale audit workers</t>
  </si>
  <si>
    <t xml:space="preserve">Python</t>
  </si>
  <si>
    <t xml:space="preserve">Postgres + pgvector / Qdrant</t>
  </si>
  <si>
    <t xml:space="preserve">Data/RAG</t>
  </si>
  <si>
    <t xml:space="preserve">Store results; retrieve GIGW/WCAG text for grounding</t>
  </si>
  <si>
    <t xml:space="preserve">Docker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</si>
</sst>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B"/>
      <name val="Arial"/>
      <family val="0"/>
      <charset val="1"/>
    </font>
    <font>
      <b val="true"/>
      <sz val="11"/>
      <color rgb="FF1F6FB2"/>
      <name val="Arial"/>
      <family val="0"/>
      <charset val="1"/>
    </font>
    <font>
      <b val="true"/>
      <sz val="12"/>
      <color rgb="FF0B3D6B"/>
      <name val="Arial"/>
      <family val="0"/>
      <charset val="1"/>
    </font>
    <font>
      <sz val="10"/>
      <color rgb="FF16232E"/>
      <name val="Arial"/>
      <family val="0"/>
      <charset val="1"/>
    </font>
    <font>
      <b val="true"/>
      <sz val="10"/>
      <color rgb="FF16232E"/>
      <name val="Arial"/>
      <family val="0"/>
      <charset val="1"/>
    </font>
    <font>
      <sz val="10"/>
      <name val="Arial"/>
      <family val="0"/>
      <charset val="1"/>
    </font>
    <font>
      <sz val="9"/>
      <color rgb="FF5A6B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16232E"/>
      <name val="Arial"/>
      <family val="0"/>
      <charset val="1"/>
    </font>
    <font>
      <b val="true"/>
      <sz val="9.5"/>
      <color rgb="FF16232E"/>
      <name val="Arial"/>
      <family val="0"/>
      <charset val="1"/>
    </font>
    <font>
      <b val="true"/>
      <sz val="14"/>
      <color rgb="FF0B3D6B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2"/>
      <charset val="1"/>
    </font>
    <font>
      <i val="true"/>
      <sz val="9"/>
      <color rgb="FF5A6B7B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6F4EC"/>
        <bgColor rgb="FFF4F8FB"/>
      </patternFill>
    </fill>
    <fill>
      <patternFill patternType="solid">
        <fgColor rgb="FFFBF3DA"/>
        <bgColor rgb="FFFDECEB"/>
      </patternFill>
    </fill>
    <fill>
      <patternFill patternType="solid">
        <fgColor rgb="FFFDECEB"/>
        <bgColor rgb="FFFBF3DA"/>
      </patternFill>
    </fill>
    <fill>
      <patternFill patternType="solid">
        <fgColor rgb="FF0B3D6B"/>
        <bgColor rgb="FF333399"/>
      </patternFill>
    </fill>
    <fill>
      <patternFill patternType="solid">
        <fgColor rgb="FFFFFFFF"/>
        <bgColor rgb="FFF4F8FB"/>
      </patternFill>
    </fill>
    <fill>
      <patternFill patternType="solid">
        <fgColor rgb="FFF4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3D6B"/>
          <bgColor rgb="FF000000"/>
        </patternFill>
      </fill>
    </dxf>
    <dxf>
      <fill>
        <patternFill patternType="solid">
          <fgColor rgb="FFF4F8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232E"/>
          <bgColor rgb="FF000000"/>
        </patternFill>
      </fill>
    </dxf>
    <dxf>
      <fill>
        <patternFill patternType="solid">
          <fgColor rgb="FFE6F4EC"/>
          <bgColor rgb="FF000000"/>
        </patternFill>
      </fill>
    </dxf>
    <dxf>
      <fill>
        <patternFill patternType="solid">
          <fgColor rgb="FFFBF3DA"/>
          <bgColor rgb="FF000000"/>
        </patternFill>
      </fill>
    </dxf>
    <dxf>
      <fill>
        <patternFill patternType="solid">
          <fgColor rgb="FFFDECE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3DA"/>
      <rgbColor rgb="FFE6F4EC"/>
      <rgbColor rgb="FF660066"/>
      <rgbColor rgb="FFFF8080"/>
      <rgbColor rgb="FF1F6FB2"/>
      <rgbColor rgb="FFD5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CCFFCC"/>
      <rgbColor rgb="FFFDEC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B"/>
      <rgbColor rgb="FF969696"/>
      <rgbColor rgb="FF0B3D6B"/>
      <rgbColor rgb="FF339966"/>
      <rgbColor rgb="FF003300"/>
      <rgbColor rgb="FF333300"/>
      <rgbColor rgb="FF993300"/>
      <rgbColor rgb="FF993366"/>
      <rgbColor rgb="FF333399"/>
      <rgbColor rgb="FF162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1" customFormat="false" ht="25.5" hidden="false" customHeight="true" outlineLevel="0" collapsed="false">
      <c r="B1" s="1" t="s">
        <v>0</v>
      </c>
    </row>
    <row r="2" customFormat="false" ht="19.5" hidden="false" customHeight="true" outlineLevel="0" collapsed="false">
      <c r="B2" s="2" t="s">
        <v>1</v>
      </c>
    </row>
    <row r="4" customFormat="false" ht="19.5" hidden="false" customHeight="true" outlineLevel="0" collapsed="false">
      <c r="B4" s="3" t="s">
        <v>2</v>
      </c>
    </row>
    <row r="5" customFormat="false" ht="54" hidden="false" customHeight="true" outlineLevel="0" collapsed="false">
      <c r="B5" s="4" t="s">
        <v>3</v>
      </c>
    </row>
    <row r="6" customFormat="false" ht="15" hidden="false" customHeight="true" outlineLevel="0" collapsed="false">
      <c r="B6" s="4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4" t="s">
        <v>6</v>
      </c>
    </row>
    <row r="9" customFormat="false" ht="15" hidden="false" customHeight="true" outlineLevel="0" collapsed="false">
      <c r="B9" s="4" t="s">
        <v>7</v>
      </c>
    </row>
    <row r="10" customFormat="false" ht="30" hidden="false" customHeight="true" outlineLevel="0" collapsed="false">
      <c r="B10" s="5" t="s">
        <v>8</v>
      </c>
    </row>
    <row r="12" customFormat="false" ht="19.5" hidden="false" customHeight="true" outlineLevel="0" collapsed="false">
      <c r="B12" s="3" t="s">
        <v>9</v>
      </c>
    </row>
    <row r="13" customFormat="false" ht="42" hidden="false" customHeight="true" outlineLevel="0" collapsed="false">
      <c r="B13" s="4" t="s">
        <v>10</v>
      </c>
    </row>
    <row r="14" customFormat="false" ht="15" hidden="false" customHeight="true" outlineLevel="0" collapsed="false">
      <c r="B14" s="4" t="s">
        <v>11</v>
      </c>
    </row>
    <row r="15" customFormat="false" ht="15" hidden="false" customHeight="true" outlineLevel="0" collapsed="false">
      <c r="B15" s="4" t="s">
        <v>12</v>
      </c>
    </row>
    <row r="17" customFormat="false" ht="19.5" hidden="false" customHeight="true" outlineLevel="0" collapsed="false">
      <c r="B17" s="3" t="s">
        <v>13</v>
      </c>
    </row>
    <row r="18" customFormat="false" ht="27.75" hidden="false" customHeight="true" outlineLevel="0" collapsed="false">
      <c r="B18" s="6" t="s">
        <v>14</v>
      </c>
    </row>
    <row r="19" customFormat="false" ht="42" hidden="false" customHeight="true" outlineLevel="0" collapsed="false">
      <c r="B19" s="7" t="s">
        <v>15</v>
      </c>
    </row>
    <row r="20" customFormat="false" ht="27.75" hidden="false" customHeight="true" outlineLevel="0" collapsed="false">
      <c r="B20" s="8" t="s">
        <v>16</v>
      </c>
    </row>
    <row r="22" customFormat="false" ht="30" hidden="false" customHeight="true" outlineLevel="0" collapsed="false">
      <c r="B22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</row>
    <row r="2" customFormat="false" ht="27.75" hidden="false" customHeight="true" outlineLevel="0" collapsed="false">
      <c r="A2" s="11" t="s">
        <v>25</v>
      </c>
      <c r="B2" s="12" t="s">
        <v>26</v>
      </c>
      <c r="C2" s="12" t="s">
        <v>27</v>
      </c>
      <c r="D2" s="12" t="s">
        <v>28</v>
      </c>
      <c r="E2" s="13" t="s">
        <v>29</v>
      </c>
      <c r="F2" s="11" t="s">
        <v>30</v>
      </c>
      <c r="G2" s="12" t="s">
        <v>31</v>
      </c>
    </row>
    <row r="3" customFormat="false" ht="27.75" hidden="false" customHeight="true" outlineLevel="0" collapsed="false">
      <c r="A3" s="14" t="s">
        <v>32</v>
      </c>
      <c r="B3" s="15" t="s">
        <v>26</v>
      </c>
      <c r="C3" s="15" t="s">
        <v>33</v>
      </c>
      <c r="D3" s="15" t="s">
        <v>34</v>
      </c>
      <c r="E3" s="13" t="s">
        <v>29</v>
      </c>
      <c r="F3" s="14" t="s">
        <v>30</v>
      </c>
      <c r="G3" s="15" t="s">
        <v>35</v>
      </c>
    </row>
    <row r="4" customFormat="false" ht="27.75" hidden="false" customHeight="true" outlineLevel="0" collapsed="false">
      <c r="A4" s="11" t="s">
        <v>36</v>
      </c>
      <c r="B4" s="12" t="s">
        <v>26</v>
      </c>
      <c r="C4" s="12" t="s">
        <v>37</v>
      </c>
      <c r="D4" s="12" t="s">
        <v>38</v>
      </c>
      <c r="E4" s="13" t="s">
        <v>29</v>
      </c>
      <c r="F4" s="11" t="s">
        <v>30</v>
      </c>
      <c r="G4" s="12" t="s">
        <v>35</v>
      </c>
    </row>
    <row r="5" customFormat="false" ht="27.75" hidden="false" customHeight="true" outlineLevel="0" collapsed="false">
      <c r="A5" s="14" t="s">
        <v>39</v>
      </c>
      <c r="B5" s="15" t="s">
        <v>26</v>
      </c>
      <c r="C5" s="15" t="s">
        <v>40</v>
      </c>
      <c r="D5" s="15" t="s">
        <v>41</v>
      </c>
      <c r="E5" s="13" t="s">
        <v>29</v>
      </c>
      <c r="F5" s="14" t="s">
        <v>30</v>
      </c>
      <c r="G5" s="15" t="s">
        <v>42</v>
      </c>
    </row>
    <row r="6" customFormat="false" ht="27.75" hidden="false" customHeight="true" outlineLevel="0" collapsed="false">
      <c r="A6" s="11" t="s">
        <v>43</v>
      </c>
      <c r="B6" s="12" t="s">
        <v>26</v>
      </c>
      <c r="C6" s="12" t="s">
        <v>44</v>
      </c>
      <c r="D6" s="12" t="s">
        <v>45</v>
      </c>
      <c r="E6" s="13" t="s">
        <v>29</v>
      </c>
      <c r="F6" s="11" t="s">
        <v>30</v>
      </c>
      <c r="G6" s="12" t="s">
        <v>46</v>
      </c>
    </row>
    <row r="7" customFormat="false" ht="27.75" hidden="false" customHeight="true" outlineLevel="0" collapsed="false">
      <c r="A7" s="14" t="s">
        <v>47</v>
      </c>
      <c r="B7" s="15" t="s">
        <v>26</v>
      </c>
      <c r="C7" s="15" t="s">
        <v>48</v>
      </c>
      <c r="D7" s="15" t="s">
        <v>49</v>
      </c>
      <c r="E7" s="13" t="s">
        <v>29</v>
      </c>
      <c r="F7" s="14" t="s">
        <v>30</v>
      </c>
      <c r="G7" s="15" t="s">
        <v>35</v>
      </c>
    </row>
    <row r="8" customFormat="false" ht="27.75" hidden="false" customHeight="true" outlineLevel="0" collapsed="false">
      <c r="A8" s="11" t="s">
        <v>50</v>
      </c>
      <c r="B8" s="12" t="s">
        <v>26</v>
      </c>
      <c r="C8" s="12" t="s">
        <v>51</v>
      </c>
      <c r="D8" s="12" t="s">
        <v>52</v>
      </c>
      <c r="E8" s="13" t="s">
        <v>29</v>
      </c>
      <c r="F8" s="11" t="s">
        <v>30</v>
      </c>
      <c r="G8" s="12" t="s">
        <v>53</v>
      </c>
    </row>
    <row r="9" customFormat="false" ht="27.75" hidden="false" customHeight="true" outlineLevel="0" collapsed="false">
      <c r="A9" s="14" t="s">
        <v>54</v>
      </c>
      <c r="B9" s="15" t="s">
        <v>26</v>
      </c>
      <c r="C9" s="15" t="s">
        <v>55</v>
      </c>
      <c r="D9" s="15" t="s">
        <v>56</v>
      </c>
      <c r="E9" s="13" t="s">
        <v>29</v>
      </c>
      <c r="F9" s="14" t="s">
        <v>30</v>
      </c>
      <c r="G9" s="15" t="s">
        <v>35</v>
      </c>
    </row>
    <row r="10" customFormat="false" ht="27.75" hidden="false" customHeight="true" outlineLevel="0" collapsed="false">
      <c r="A10" s="11" t="s">
        <v>57</v>
      </c>
      <c r="B10" s="12" t="s">
        <v>26</v>
      </c>
      <c r="C10" s="12" t="s">
        <v>58</v>
      </c>
      <c r="D10" s="12" t="s">
        <v>59</v>
      </c>
      <c r="E10" s="13" t="s">
        <v>29</v>
      </c>
      <c r="F10" s="11" t="s">
        <v>30</v>
      </c>
      <c r="G10" s="12" t="s">
        <v>60</v>
      </c>
    </row>
    <row r="11" customFormat="false" ht="27.75" hidden="false" customHeight="true" outlineLevel="0" collapsed="false">
      <c r="A11" s="14" t="s">
        <v>61</v>
      </c>
      <c r="B11" s="15" t="s">
        <v>26</v>
      </c>
      <c r="C11" s="15" t="s">
        <v>62</v>
      </c>
      <c r="D11" s="15" t="s">
        <v>63</v>
      </c>
      <c r="E11" s="13" t="s">
        <v>29</v>
      </c>
      <c r="F11" s="14" t="s">
        <v>30</v>
      </c>
      <c r="G11" s="15" t="s">
        <v>64</v>
      </c>
    </row>
    <row r="12" customFormat="false" ht="27.75" hidden="false" customHeight="true" outlineLevel="0" collapsed="false">
      <c r="A12" s="11" t="s">
        <v>65</v>
      </c>
      <c r="B12" s="12" t="s">
        <v>26</v>
      </c>
      <c r="C12" s="12" t="s">
        <v>66</v>
      </c>
      <c r="D12" s="12" t="s">
        <v>67</v>
      </c>
      <c r="E12" s="13" t="s">
        <v>29</v>
      </c>
      <c r="F12" s="11" t="s">
        <v>30</v>
      </c>
      <c r="G12" s="12" t="s">
        <v>68</v>
      </c>
    </row>
    <row r="13" customFormat="false" ht="27.75" hidden="false" customHeight="true" outlineLevel="0" collapsed="false">
      <c r="A13" s="14" t="s">
        <v>69</v>
      </c>
      <c r="B13" s="15" t="s">
        <v>26</v>
      </c>
      <c r="C13" s="15" t="s">
        <v>70</v>
      </c>
      <c r="D13" s="15" t="s">
        <v>71</v>
      </c>
      <c r="E13" s="13" t="s">
        <v>29</v>
      </c>
      <c r="F13" s="14" t="s">
        <v>72</v>
      </c>
      <c r="G13" s="15" t="s">
        <v>73</v>
      </c>
    </row>
    <row r="14" customFormat="false" ht="27.75" hidden="false" customHeight="true" outlineLevel="0" collapsed="false">
      <c r="A14" s="11" t="s">
        <v>74</v>
      </c>
      <c r="B14" s="12" t="s">
        <v>26</v>
      </c>
      <c r="C14" s="12" t="s">
        <v>75</v>
      </c>
      <c r="D14" s="12" t="s">
        <v>76</v>
      </c>
      <c r="E14" s="13" t="s">
        <v>29</v>
      </c>
      <c r="F14" s="11" t="s">
        <v>30</v>
      </c>
      <c r="G14" s="12" t="s">
        <v>77</v>
      </c>
    </row>
    <row r="15" customFormat="false" ht="27.75" hidden="false" customHeight="true" outlineLevel="0" collapsed="false">
      <c r="A15" s="14" t="s">
        <v>78</v>
      </c>
      <c r="B15" s="15" t="s">
        <v>26</v>
      </c>
      <c r="C15" s="15" t="s">
        <v>79</v>
      </c>
      <c r="D15" s="15" t="s">
        <v>80</v>
      </c>
      <c r="E15" s="13" t="s">
        <v>29</v>
      </c>
      <c r="F15" s="14" t="s">
        <v>72</v>
      </c>
      <c r="G15" s="15" t="s">
        <v>81</v>
      </c>
    </row>
    <row r="16" customFormat="false" ht="27.75" hidden="false" customHeight="true" outlineLevel="0" collapsed="false">
      <c r="A16" s="11" t="s">
        <v>82</v>
      </c>
      <c r="B16" s="12" t="s">
        <v>26</v>
      </c>
      <c r="C16" s="12" t="s">
        <v>83</v>
      </c>
      <c r="D16" s="12" t="s">
        <v>84</v>
      </c>
      <c r="E16" s="13" t="s">
        <v>29</v>
      </c>
      <c r="F16" s="11" t="s">
        <v>72</v>
      </c>
      <c r="G16" s="12" t="s">
        <v>85</v>
      </c>
    </row>
    <row r="17" customFormat="false" ht="27.75" hidden="false" customHeight="true" outlineLevel="0" collapsed="false">
      <c r="A17" s="14" t="s">
        <v>86</v>
      </c>
      <c r="B17" s="15" t="s">
        <v>26</v>
      </c>
      <c r="C17" s="15" t="s">
        <v>87</v>
      </c>
      <c r="D17" s="15" t="s">
        <v>88</v>
      </c>
      <c r="E17" s="13" t="s">
        <v>29</v>
      </c>
      <c r="F17" s="14" t="s">
        <v>72</v>
      </c>
      <c r="G17" s="15" t="s">
        <v>85</v>
      </c>
    </row>
    <row r="18" customFormat="false" ht="27.75" hidden="false" customHeight="true" outlineLevel="0" collapsed="false">
      <c r="A18" s="11" t="s">
        <v>89</v>
      </c>
      <c r="B18" s="12" t="s">
        <v>26</v>
      </c>
      <c r="C18" s="12" t="s">
        <v>90</v>
      </c>
      <c r="D18" s="12" t="s">
        <v>91</v>
      </c>
      <c r="E18" s="13" t="s">
        <v>29</v>
      </c>
      <c r="F18" s="11" t="s">
        <v>72</v>
      </c>
      <c r="G18" s="12" t="s">
        <v>92</v>
      </c>
    </row>
    <row r="19" customFormat="false" ht="27.75" hidden="false" customHeight="true" outlineLevel="0" collapsed="false">
      <c r="A19" s="14" t="s">
        <v>93</v>
      </c>
      <c r="B19" s="15" t="s">
        <v>26</v>
      </c>
      <c r="C19" s="15" t="s">
        <v>94</v>
      </c>
      <c r="D19" s="15" t="s">
        <v>95</v>
      </c>
      <c r="E19" s="13" t="s">
        <v>29</v>
      </c>
      <c r="F19" s="14" t="s">
        <v>72</v>
      </c>
      <c r="G19" s="15" t="s">
        <v>96</v>
      </c>
    </row>
    <row r="20" customFormat="false" ht="27.75" hidden="false" customHeight="true" outlineLevel="0" collapsed="false">
      <c r="A20" s="11" t="s">
        <v>97</v>
      </c>
      <c r="B20" s="12" t="s">
        <v>26</v>
      </c>
      <c r="C20" s="12" t="s">
        <v>98</v>
      </c>
      <c r="D20" s="12" t="s">
        <v>99</v>
      </c>
      <c r="E20" s="13" t="s">
        <v>29</v>
      </c>
      <c r="F20" s="11" t="s">
        <v>30</v>
      </c>
      <c r="G20" s="12" t="s">
        <v>100</v>
      </c>
    </row>
    <row r="21" customFormat="false" ht="27.75" hidden="false" customHeight="true" outlineLevel="0" collapsed="false">
      <c r="A21" s="14" t="s">
        <v>101</v>
      </c>
      <c r="B21" s="15" t="s">
        <v>26</v>
      </c>
      <c r="C21" s="15" t="s">
        <v>102</v>
      </c>
      <c r="D21" s="15" t="s">
        <v>103</v>
      </c>
      <c r="E21" s="13" t="s">
        <v>29</v>
      </c>
      <c r="F21" s="14" t="s">
        <v>30</v>
      </c>
      <c r="G21" s="15" t="s">
        <v>104</v>
      </c>
    </row>
    <row r="22" customFormat="false" ht="27.75" hidden="false" customHeight="true" outlineLevel="0" collapsed="false">
      <c r="A22" s="11" t="s">
        <v>105</v>
      </c>
      <c r="B22" s="12" t="s">
        <v>26</v>
      </c>
      <c r="C22" s="12" t="s">
        <v>106</v>
      </c>
      <c r="D22" s="12" t="s">
        <v>107</v>
      </c>
      <c r="E22" s="13" t="s">
        <v>29</v>
      </c>
      <c r="F22" s="11" t="s">
        <v>72</v>
      </c>
      <c r="G22" s="12" t="s">
        <v>108</v>
      </c>
    </row>
    <row r="23" customFormat="false" ht="27.75" hidden="false" customHeight="true" outlineLevel="0" collapsed="false">
      <c r="A23" s="14" t="s">
        <v>109</v>
      </c>
      <c r="B23" s="15" t="s">
        <v>26</v>
      </c>
      <c r="C23" s="15" t="s">
        <v>110</v>
      </c>
      <c r="D23" s="15" t="s">
        <v>111</v>
      </c>
      <c r="E23" s="13" t="s">
        <v>29</v>
      </c>
      <c r="F23" s="14" t="s">
        <v>72</v>
      </c>
      <c r="G23" s="15" t="s">
        <v>112</v>
      </c>
    </row>
    <row r="24" customFormat="false" ht="27.75" hidden="false" customHeight="true" outlineLevel="0" collapsed="false">
      <c r="A24" s="11" t="s">
        <v>113</v>
      </c>
      <c r="B24" s="12" t="s">
        <v>26</v>
      </c>
      <c r="C24" s="12" t="s">
        <v>114</v>
      </c>
      <c r="D24" s="12" t="s">
        <v>115</v>
      </c>
      <c r="E24" s="13" t="s">
        <v>29</v>
      </c>
      <c r="F24" s="11" t="s">
        <v>72</v>
      </c>
      <c r="G24" s="12" t="s">
        <v>116</v>
      </c>
    </row>
    <row r="25" customFormat="false" ht="27.75" hidden="false" customHeight="true" outlineLevel="0" collapsed="false">
      <c r="A25" s="14" t="s">
        <v>117</v>
      </c>
      <c r="B25" s="15" t="s">
        <v>26</v>
      </c>
      <c r="C25" s="15" t="s">
        <v>118</v>
      </c>
      <c r="D25" s="15" t="s">
        <v>119</v>
      </c>
      <c r="E25" s="13" t="s">
        <v>29</v>
      </c>
      <c r="F25" s="14" t="s">
        <v>30</v>
      </c>
      <c r="G25" s="15" t="s">
        <v>120</v>
      </c>
    </row>
    <row r="26" customFormat="false" ht="27.75" hidden="false" customHeight="true" outlineLevel="0" collapsed="false">
      <c r="A26" s="11" t="s">
        <v>121</v>
      </c>
      <c r="B26" s="12" t="s">
        <v>26</v>
      </c>
      <c r="C26" s="12" t="s">
        <v>122</v>
      </c>
      <c r="D26" s="12" t="s">
        <v>123</v>
      </c>
      <c r="E26" s="13" t="s">
        <v>29</v>
      </c>
      <c r="F26" s="11" t="s">
        <v>30</v>
      </c>
      <c r="G26" s="12" t="s">
        <v>124</v>
      </c>
    </row>
    <row r="27" customFormat="false" ht="27.75" hidden="false" customHeight="true" outlineLevel="0" collapsed="false">
      <c r="A27" s="14" t="s">
        <v>125</v>
      </c>
      <c r="B27" s="15" t="s">
        <v>126</v>
      </c>
      <c r="C27" s="15" t="s">
        <v>127</v>
      </c>
      <c r="D27" s="15" t="s">
        <v>128</v>
      </c>
      <c r="E27" s="13" t="s">
        <v>29</v>
      </c>
      <c r="F27" s="14" t="s">
        <v>72</v>
      </c>
      <c r="G27" s="15" t="s">
        <v>129</v>
      </c>
    </row>
    <row r="28" customFormat="false" ht="27.75" hidden="false" customHeight="true" outlineLevel="0" collapsed="false">
      <c r="A28" s="11" t="s">
        <v>130</v>
      </c>
      <c r="B28" s="12" t="s">
        <v>126</v>
      </c>
      <c r="C28" s="12" t="s">
        <v>131</v>
      </c>
      <c r="D28" s="12" t="s">
        <v>132</v>
      </c>
      <c r="E28" s="13" t="s">
        <v>29</v>
      </c>
      <c r="F28" s="11" t="s">
        <v>72</v>
      </c>
      <c r="G28" s="12" t="s">
        <v>133</v>
      </c>
    </row>
    <row r="29" customFormat="false" ht="27.75" hidden="false" customHeight="true" outlineLevel="0" collapsed="false">
      <c r="A29" s="14" t="s">
        <v>134</v>
      </c>
      <c r="B29" s="15" t="s">
        <v>126</v>
      </c>
      <c r="C29" s="15" t="s">
        <v>135</v>
      </c>
      <c r="D29" s="15" t="s">
        <v>136</v>
      </c>
      <c r="E29" s="16" t="s">
        <v>137</v>
      </c>
      <c r="F29" s="14" t="s">
        <v>138</v>
      </c>
      <c r="G29" s="15" t="s">
        <v>139</v>
      </c>
    </row>
    <row r="30" customFormat="false" ht="27.75" hidden="false" customHeight="true" outlineLevel="0" collapsed="false">
      <c r="A30" s="11" t="s">
        <v>140</v>
      </c>
      <c r="B30" s="12" t="s">
        <v>126</v>
      </c>
      <c r="C30" s="12" t="s">
        <v>141</v>
      </c>
      <c r="D30" s="12" t="s">
        <v>142</v>
      </c>
      <c r="E30" s="13" t="s">
        <v>29</v>
      </c>
      <c r="F30" s="11" t="s">
        <v>72</v>
      </c>
      <c r="G30" s="12" t="s">
        <v>133</v>
      </c>
    </row>
    <row r="31" customFormat="false" ht="27.75" hidden="false" customHeight="true" outlineLevel="0" collapsed="false">
      <c r="A31" s="14" t="s">
        <v>143</v>
      </c>
      <c r="B31" s="15" t="s">
        <v>126</v>
      </c>
      <c r="C31" s="15" t="s">
        <v>144</v>
      </c>
      <c r="D31" s="15" t="s">
        <v>145</v>
      </c>
      <c r="E31" s="13" t="s">
        <v>29</v>
      </c>
      <c r="F31" s="14" t="s">
        <v>72</v>
      </c>
      <c r="G31" s="15" t="s">
        <v>133</v>
      </c>
    </row>
    <row r="32" customFormat="false" ht="27.75" hidden="false" customHeight="true" outlineLevel="0" collapsed="false">
      <c r="A32" s="11" t="s">
        <v>146</v>
      </c>
      <c r="B32" s="12" t="s">
        <v>126</v>
      </c>
      <c r="C32" s="12" t="s">
        <v>147</v>
      </c>
      <c r="D32" s="12" t="s">
        <v>148</v>
      </c>
      <c r="E32" s="13" t="s">
        <v>29</v>
      </c>
      <c r="F32" s="11" t="s">
        <v>72</v>
      </c>
      <c r="G32" s="12" t="s">
        <v>149</v>
      </c>
    </row>
    <row r="33" customFormat="false" ht="27.75" hidden="false" customHeight="true" outlineLevel="0" collapsed="false">
      <c r="A33" s="14" t="s">
        <v>150</v>
      </c>
      <c r="B33" s="15" t="s">
        <v>126</v>
      </c>
      <c r="C33" s="15" t="s">
        <v>151</v>
      </c>
      <c r="D33" s="15" t="s">
        <v>152</v>
      </c>
      <c r="E33" s="13" t="s">
        <v>29</v>
      </c>
      <c r="F33" s="14" t="s">
        <v>72</v>
      </c>
      <c r="G33" s="15" t="s">
        <v>133</v>
      </c>
    </row>
    <row r="34" customFormat="false" ht="27.75" hidden="false" customHeight="true" outlineLevel="0" collapsed="false">
      <c r="A34" s="11" t="s">
        <v>153</v>
      </c>
      <c r="B34" s="12" t="s">
        <v>126</v>
      </c>
      <c r="C34" s="12" t="s">
        <v>154</v>
      </c>
      <c r="D34" s="12" t="s">
        <v>155</v>
      </c>
      <c r="E34" s="13" t="s">
        <v>29</v>
      </c>
      <c r="F34" s="11" t="s">
        <v>72</v>
      </c>
      <c r="G34" s="12" t="s">
        <v>133</v>
      </c>
    </row>
    <row r="35" customFormat="false" ht="27.75" hidden="false" customHeight="true" outlineLevel="0" collapsed="false">
      <c r="A35" s="14" t="s">
        <v>156</v>
      </c>
      <c r="B35" s="15" t="s">
        <v>126</v>
      </c>
      <c r="C35" s="15" t="s">
        <v>157</v>
      </c>
      <c r="D35" s="15" t="s">
        <v>158</v>
      </c>
      <c r="E35" s="13" t="s">
        <v>29</v>
      </c>
      <c r="F35" s="14" t="s">
        <v>72</v>
      </c>
      <c r="G35" s="15" t="s">
        <v>133</v>
      </c>
    </row>
    <row r="36" customFormat="false" ht="27.75" hidden="false" customHeight="true" outlineLevel="0" collapsed="false">
      <c r="A36" s="11" t="s">
        <v>159</v>
      </c>
      <c r="B36" s="12" t="s">
        <v>126</v>
      </c>
      <c r="C36" s="12" t="s">
        <v>160</v>
      </c>
      <c r="D36" s="12" t="s">
        <v>161</v>
      </c>
      <c r="E36" s="16" t="s">
        <v>137</v>
      </c>
      <c r="F36" s="11" t="s">
        <v>162</v>
      </c>
      <c r="G36" s="12" t="s">
        <v>163</v>
      </c>
    </row>
    <row r="37" customFormat="false" ht="27.75" hidden="false" customHeight="true" outlineLevel="0" collapsed="false">
      <c r="A37" s="14" t="s">
        <v>164</v>
      </c>
      <c r="B37" s="15" t="s">
        <v>126</v>
      </c>
      <c r="C37" s="15" t="s">
        <v>165</v>
      </c>
      <c r="D37" s="15" t="s">
        <v>166</v>
      </c>
      <c r="E37" s="13" t="s">
        <v>29</v>
      </c>
      <c r="F37" s="14" t="s">
        <v>72</v>
      </c>
      <c r="G37" s="15" t="s">
        <v>133</v>
      </c>
    </row>
    <row r="38" customFormat="false" ht="27.75" hidden="false" customHeight="true" outlineLevel="0" collapsed="false">
      <c r="A38" s="11" t="s">
        <v>167</v>
      </c>
      <c r="B38" s="12" t="s">
        <v>126</v>
      </c>
      <c r="C38" s="12" t="s">
        <v>168</v>
      </c>
      <c r="D38" s="12" t="s">
        <v>169</v>
      </c>
      <c r="E38" s="13" t="s">
        <v>29</v>
      </c>
      <c r="F38" s="11" t="s">
        <v>72</v>
      </c>
      <c r="G38" s="12" t="s">
        <v>133</v>
      </c>
    </row>
    <row r="39" customFormat="false" ht="27.75" hidden="false" customHeight="true" outlineLevel="0" collapsed="false">
      <c r="A39" s="14" t="s">
        <v>170</v>
      </c>
      <c r="B39" s="15" t="s">
        <v>126</v>
      </c>
      <c r="C39" s="15" t="s">
        <v>171</v>
      </c>
      <c r="D39" s="15" t="s">
        <v>172</v>
      </c>
      <c r="E39" s="13" t="s">
        <v>29</v>
      </c>
      <c r="F39" s="14" t="s">
        <v>72</v>
      </c>
      <c r="G39" s="15" t="s">
        <v>133</v>
      </c>
    </row>
    <row r="40" customFormat="false" ht="27.75" hidden="false" customHeight="true" outlineLevel="0" collapsed="false">
      <c r="A40" s="11" t="s">
        <v>173</v>
      </c>
      <c r="B40" s="12" t="s">
        <v>126</v>
      </c>
      <c r="C40" s="12" t="s">
        <v>174</v>
      </c>
      <c r="D40" s="12" t="s">
        <v>175</v>
      </c>
      <c r="E40" s="13" t="s">
        <v>29</v>
      </c>
      <c r="F40" s="11" t="s">
        <v>72</v>
      </c>
      <c r="G40" s="12" t="s">
        <v>176</v>
      </c>
    </row>
    <row r="41" customFormat="false" ht="27.75" hidden="false" customHeight="true" outlineLevel="0" collapsed="false">
      <c r="A41" s="14" t="s">
        <v>177</v>
      </c>
      <c r="B41" s="15" t="s">
        <v>126</v>
      </c>
      <c r="C41" s="15" t="s">
        <v>178</v>
      </c>
      <c r="D41" s="15" t="s">
        <v>179</v>
      </c>
      <c r="E41" s="16" t="s">
        <v>137</v>
      </c>
      <c r="F41" s="14" t="s">
        <v>72</v>
      </c>
      <c r="G41" s="15" t="s">
        <v>180</v>
      </c>
    </row>
    <row r="42" customFormat="false" ht="27.75" hidden="false" customHeight="true" outlineLevel="0" collapsed="false">
      <c r="A42" s="11" t="s">
        <v>181</v>
      </c>
      <c r="B42" s="12" t="s">
        <v>126</v>
      </c>
      <c r="C42" s="12" t="s">
        <v>182</v>
      </c>
      <c r="D42" s="12" t="s">
        <v>183</v>
      </c>
      <c r="E42" s="16" t="s">
        <v>137</v>
      </c>
      <c r="F42" s="11" t="s">
        <v>184</v>
      </c>
      <c r="G42" s="12" t="s">
        <v>185</v>
      </c>
    </row>
    <row r="43" customFormat="false" ht="27.75" hidden="false" customHeight="true" outlineLevel="0" collapsed="false">
      <c r="A43" s="14" t="s">
        <v>186</v>
      </c>
      <c r="B43" s="15" t="s">
        <v>126</v>
      </c>
      <c r="C43" s="15" t="s">
        <v>187</v>
      </c>
      <c r="D43" s="15" t="s">
        <v>188</v>
      </c>
      <c r="E43" s="16" t="s">
        <v>137</v>
      </c>
      <c r="F43" s="14" t="s">
        <v>184</v>
      </c>
      <c r="G43" s="15" t="s">
        <v>189</v>
      </c>
    </row>
    <row r="44" customFormat="false" ht="27.75" hidden="false" customHeight="true" outlineLevel="0" collapsed="false">
      <c r="A44" s="11" t="s">
        <v>190</v>
      </c>
      <c r="B44" s="12" t="s">
        <v>126</v>
      </c>
      <c r="C44" s="12" t="s">
        <v>191</v>
      </c>
      <c r="D44" s="12" t="s">
        <v>192</v>
      </c>
      <c r="E44" s="16" t="s">
        <v>137</v>
      </c>
      <c r="F44" s="11" t="s">
        <v>184</v>
      </c>
      <c r="G44" s="12" t="s">
        <v>185</v>
      </c>
    </row>
    <row r="45" customFormat="false" ht="27.75" hidden="false" customHeight="true" outlineLevel="0" collapsed="false">
      <c r="A45" s="14" t="s">
        <v>193</v>
      </c>
      <c r="B45" s="15" t="s">
        <v>126</v>
      </c>
      <c r="C45" s="15" t="s">
        <v>194</v>
      </c>
      <c r="D45" s="15" t="s">
        <v>195</v>
      </c>
      <c r="E45" s="17" t="s">
        <v>196</v>
      </c>
      <c r="F45" s="14" t="s">
        <v>197</v>
      </c>
      <c r="G45" s="15" t="s">
        <v>198</v>
      </c>
    </row>
    <row r="46" customFormat="false" ht="27.75" hidden="false" customHeight="true" outlineLevel="0" collapsed="false">
      <c r="A46" s="11" t="s">
        <v>199</v>
      </c>
      <c r="B46" s="12" t="s">
        <v>126</v>
      </c>
      <c r="C46" s="12" t="s">
        <v>200</v>
      </c>
      <c r="D46" s="12" t="s">
        <v>201</v>
      </c>
      <c r="E46" s="16" t="s">
        <v>137</v>
      </c>
      <c r="F46" s="11" t="s">
        <v>202</v>
      </c>
      <c r="G46" s="12" t="s">
        <v>203</v>
      </c>
    </row>
    <row r="47" customFormat="false" ht="27.75" hidden="false" customHeight="true" outlineLevel="0" collapsed="false">
      <c r="A47" s="14" t="s">
        <v>204</v>
      </c>
      <c r="B47" s="15" t="s">
        <v>126</v>
      </c>
      <c r="C47" s="15" t="s">
        <v>205</v>
      </c>
      <c r="D47" s="15" t="s">
        <v>206</v>
      </c>
      <c r="E47" s="13" t="s">
        <v>29</v>
      </c>
      <c r="F47" s="14" t="s">
        <v>72</v>
      </c>
      <c r="G47" s="15" t="s">
        <v>207</v>
      </c>
    </row>
    <row r="48" customFormat="false" ht="27.75" hidden="false" customHeight="true" outlineLevel="0" collapsed="false">
      <c r="A48" s="11" t="s">
        <v>208</v>
      </c>
      <c r="B48" s="12" t="s">
        <v>126</v>
      </c>
      <c r="C48" s="12" t="s">
        <v>209</v>
      </c>
      <c r="D48" s="12" t="s">
        <v>210</v>
      </c>
      <c r="E48" s="17" t="s">
        <v>196</v>
      </c>
      <c r="F48" s="11" t="s">
        <v>197</v>
      </c>
      <c r="G48" s="12" t="s">
        <v>211</v>
      </c>
    </row>
    <row r="49" customFormat="false" ht="27.75" hidden="false" customHeight="true" outlineLevel="0" collapsed="false">
      <c r="A49" s="14" t="s">
        <v>212</v>
      </c>
      <c r="B49" s="15" t="s">
        <v>126</v>
      </c>
      <c r="C49" s="15" t="s">
        <v>213</v>
      </c>
      <c r="D49" s="15" t="s">
        <v>214</v>
      </c>
      <c r="E49" s="16" t="s">
        <v>137</v>
      </c>
      <c r="F49" s="14" t="s">
        <v>72</v>
      </c>
      <c r="G49" s="15" t="s">
        <v>215</v>
      </c>
    </row>
    <row r="50" customFormat="false" ht="27.75" hidden="false" customHeight="true" outlineLevel="0" collapsed="false">
      <c r="A50" s="11" t="s">
        <v>216</v>
      </c>
      <c r="B50" s="12" t="s">
        <v>126</v>
      </c>
      <c r="C50" s="12" t="s">
        <v>217</v>
      </c>
      <c r="D50" s="12" t="s">
        <v>218</v>
      </c>
      <c r="E50" s="17" t="s">
        <v>196</v>
      </c>
      <c r="F50" s="11" t="s">
        <v>197</v>
      </c>
      <c r="G50" s="12" t="s">
        <v>211</v>
      </c>
    </row>
    <row r="51" customFormat="false" ht="27.75" hidden="false" customHeight="true" outlineLevel="0" collapsed="false">
      <c r="A51" s="14" t="s">
        <v>219</v>
      </c>
      <c r="B51" s="15" t="s">
        <v>126</v>
      </c>
      <c r="C51" s="15" t="s">
        <v>220</v>
      </c>
      <c r="D51" s="15" t="s">
        <v>221</v>
      </c>
      <c r="E51" s="17" t="s">
        <v>196</v>
      </c>
      <c r="F51" s="14" t="s">
        <v>197</v>
      </c>
      <c r="G51" s="15" t="s">
        <v>211</v>
      </c>
    </row>
    <row r="52" customFormat="false" ht="27.75" hidden="false" customHeight="true" outlineLevel="0" collapsed="false">
      <c r="A52" s="11" t="s">
        <v>222</v>
      </c>
      <c r="B52" s="12" t="s">
        <v>126</v>
      </c>
      <c r="C52" s="12" t="s">
        <v>223</v>
      </c>
      <c r="D52" s="12" t="s">
        <v>224</v>
      </c>
      <c r="E52" s="17" t="s">
        <v>196</v>
      </c>
      <c r="F52" s="11" t="s">
        <v>197</v>
      </c>
      <c r="G52" s="12" t="s">
        <v>225</v>
      </c>
    </row>
    <row r="53" customFormat="false" ht="27.75" hidden="false" customHeight="true" outlineLevel="0" collapsed="false">
      <c r="A53" s="14" t="s">
        <v>226</v>
      </c>
      <c r="B53" s="15" t="s">
        <v>227</v>
      </c>
      <c r="C53" s="15" t="s">
        <v>228</v>
      </c>
      <c r="D53" s="15" t="s">
        <v>229</v>
      </c>
      <c r="E53" s="13" t="s">
        <v>29</v>
      </c>
      <c r="F53" s="14" t="s">
        <v>72</v>
      </c>
      <c r="G53" s="15" t="s">
        <v>112</v>
      </c>
    </row>
    <row r="54" customFormat="false" ht="27.75" hidden="false" customHeight="true" outlineLevel="0" collapsed="false">
      <c r="A54" s="11" t="s">
        <v>230</v>
      </c>
      <c r="B54" s="12" t="s">
        <v>227</v>
      </c>
      <c r="C54" s="12" t="s">
        <v>231</v>
      </c>
      <c r="D54" s="12" t="s">
        <v>232</v>
      </c>
      <c r="E54" s="13" t="s">
        <v>29</v>
      </c>
      <c r="F54" s="11" t="s">
        <v>72</v>
      </c>
      <c r="G54" s="12" t="s">
        <v>233</v>
      </c>
    </row>
    <row r="55" customFormat="false" ht="27.75" hidden="false" customHeight="true" outlineLevel="0" collapsed="false">
      <c r="A55" s="14" t="s">
        <v>234</v>
      </c>
      <c r="B55" s="15" t="s">
        <v>227</v>
      </c>
      <c r="C55" s="15" t="s">
        <v>235</v>
      </c>
      <c r="D55" s="15" t="s">
        <v>236</v>
      </c>
      <c r="E55" s="13" t="s">
        <v>29</v>
      </c>
      <c r="F55" s="14" t="s">
        <v>72</v>
      </c>
      <c r="G55" s="15" t="s">
        <v>237</v>
      </c>
    </row>
    <row r="56" customFormat="false" ht="27.75" hidden="false" customHeight="true" outlineLevel="0" collapsed="false">
      <c r="A56" s="11" t="s">
        <v>238</v>
      </c>
      <c r="B56" s="12" t="s">
        <v>227</v>
      </c>
      <c r="C56" s="12" t="s">
        <v>239</v>
      </c>
      <c r="D56" s="12" t="s">
        <v>236</v>
      </c>
      <c r="E56" s="13" t="s">
        <v>29</v>
      </c>
      <c r="F56" s="11" t="s">
        <v>72</v>
      </c>
      <c r="G56" s="12" t="s">
        <v>237</v>
      </c>
    </row>
    <row r="57" customFormat="false" ht="27.75" hidden="false" customHeight="true" outlineLevel="0" collapsed="false">
      <c r="A57" s="14" t="s">
        <v>240</v>
      </c>
      <c r="B57" s="15" t="s">
        <v>227</v>
      </c>
      <c r="C57" s="15" t="s">
        <v>241</v>
      </c>
      <c r="D57" s="15" t="s">
        <v>236</v>
      </c>
      <c r="E57" s="13" t="s">
        <v>29</v>
      </c>
      <c r="F57" s="14" t="s">
        <v>72</v>
      </c>
      <c r="G57" s="15" t="s">
        <v>237</v>
      </c>
    </row>
    <row r="58" customFormat="false" ht="27.75" hidden="false" customHeight="true" outlineLevel="0" collapsed="false">
      <c r="A58" s="11" t="s">
        <v>242</v>
      </c>
      <c r="B58" s="12" t="s">
        <v>227</v>
      </c>
      <c r="C58" s="12" t="s">
        <v>243</v>
      </c>
      <c r="D58" s="12" t="s">
        <v>236</v>
      </c>
      <c r="E58" s="13" t="s">
        <v>29</v>
      </c>
      <c r="F58" s="11" t="s">
        <v>72</v>
      </c>
      <c r="G58" s="12" t="s">
        <v>237</v>
      </c>
    </row>
    <row r="59" customFormat="false" ht="27.75" hidden="false" customHeight="true" outlineLevel="0" collapsed="false">
      <c r="A59" s="14" t="s">
        <v>244</v>
      </c>
      <c r="B59" s="15" t="s">
        <v>227</v>
      </c>
      <c r="C59" s="15" t="s">
        <v>245</v>
      </c>
      <c r="D59" s="15" t="s">
        <v>246</v>
      </c>
      <c r="E59" s="13" t="s">
        <v>29</v>
      </c>
      <c r="F59" s="14" t="s">
        <v>72</v>
      </c>
      <c r="G59" s="15" t="s">
        <v>237</v>
      </c>
    </row>
    <row r="60" customFormat="false" ht="27.75" hidden="false" customHeight="true" outlineLevel="0" collapsed="false">
      <c r="A60" s="11" t="s">
        <v>247</v>
      </c>
      <c r="B60" s="12" t="s">
        <v>227</v>
      </c>
      <c r="C60" s="12" t="s">
        <v>248</v>
      </c>
      <c r="D60" s="12" t="s">
        <v>249</v>
      </c>
      <c r="E60" s="13" t="s">
        <v>29</v>
      </c>
      <c r="F60" s="11" t="s">
        <v>72</v>
      </c>
      <c r="G60" s="12" t="s">
        <v>250</v>
      </c>
    </row>
    <row r="61" customFormat="false" ht="27.75" hidden="false" customHeight="true" outlineLevel="0" collapsed="false">
      <c r="A61" s="14" t="s">
        <v>251</v>
      </c>
      <c r="B61" s="15" t="s">
        <v>227</v>
      </c>
      <c r="C61" s="15" t="s">
        <v>252</v>
      </c>
      <c r="D61" s="15" t="s">
        <v>253</v>
      </c>
      <c r="E61" s="13" t="s">
        <v>29</v>
      </c>
      <c r="F61" s="14" t="s">
        <v>72</v>
      </c>
      <c r="G61" s="15" t="s">
        <v>250</v>
      </c>
    </row>
    <row r="62" customFormat="false" ht="27.75" hidden="false" customHeight="true" outlineLevel="0" collapsed="false">
      <c r="A62" s="11" t="s">
        <v>254</v>
      </c>
      <c r="B62" s="12" t="s">
        <v>227</v>
      </c>
      <c r="C62" s="12" t="s">
        <v>255</v>
      </c>
      <c r="D62" s="12" t="s">
        <v>256</v>
      </c>
      <c r="E62" s="13" t="s">
        <v>29</v>
      </c>
      <c r="F62" s="11" t="s">
        <v>72</v>
      </c>
      <c r="G62" s="12" t="s">
        <v>257</v>
      </c>
    </row>
    <row r="63" customFormat="false" ht="27.75" hidden="false" customHeight="true" outlineLevel="0" collapsed="false">
      <c r="A63" s="14" t="s">
        <v>258</v>
      </c>
      <c r="B63" s="15" t="s">
        <v>227</v>
      </c>
      <c r="C63" s="15" t="s">
        <v>259</v>
      </c>
      <c r="D63" s="15" t="s">
        <v>260</v>
      </c>
      <c r="E63" s="13" t="s">
        <v>29</v>
      </c>
      <c r="F63" s="14" t="s">
        <v>72</v>
      </c>
      <c r="G63" s="15" t="s">
        <v>261</v>
      </c>
    </row>
    <row r="64" customFormat="false" ht="27.75" hidden="false" customHeight="true" outlineLevel="0" collapsed="false">
      <c r="A64" s="11" t="s">
        <v>262</v>
      </c>
      <c r="B64" s="12" t="s">
        <v>227</v>
      </c>
      <c r="C64" s="12" t="s">
        <v>263</v>
      </c>
      <c r="D64" s="12" t="s">
        <v>264</v>
      </c>
      <c r="E64" s="13" t="s">
        <v>29</v>
      </c>
      <c r="F64" s="11" t="s">
        <v>72</v>
      </c>
      <c r="G64" s="12" t="s">
        <v>265</v>
      </c>
    </row>
    <row r="65" customFormat="false" ht="27.75" hidden="false" customHeight="true" outlineLevel="0" collapsed="false">
      <c r="A65" s="14" t="s">
        <v>266</v>
      </c>
      <c r="B65" s="15" t="s">
        <v>227</v>
      </c>
      <c r="C65" s="15" t="s">
        <v>267</v>
      </c>
      <c r="D65" s="15" t="s">
        <v>268</v>
      </c>
      <c r="E65" s="13" t="s">
        <v>29</v>
      </c>
      <c r="F65" s="14" t="s">
        <v>72</v>
      </c>
      <c r="G65" s="15" t="s">
        <v>269</v>
      </c>
    </row>
    <row r="66" customFormat="false" ht="27.75" hidden="false" customHeight="true" outlineLevel="0" collapsed="false">
      <c r="A66" s="11" t="s">
        <v>270</v>
      </c>
      <c r="B66" s="12" t="s">
        <v>227</v>
      </c>
      <c r="C66" s="12" t="s">
        <v>271</v>
      </c>
      <c r="D66" s="12" t="s">
        <v>272</v>
      </c>
      <c r="E66" s="16" t="s">
        <v>137</v>
      </c>
      <c r="F66" s="11" t="s">
        <v>273</v>
      </c>
      <c r="G66" s="12" t="s">
        <v>274</v>
      </c>
    </row>
    <row r="67" customFormat="false" ht="27.75" hidden="false" customHeight="true" outlineLevel="0" collapsed="false">
      <c r="A67" s="14" t="s">
        <v>275</v>
      </c>
      <c r="B67" s="15" t="s">
        <v>227</v>
      </c>
      <c r="C67" s="15" t="s">
        <v>276</v>
      </c>
      <c r="D67" s="15" t="s">
        <v>277</v>
      </c>
      <c r="E67" s="13" t="s">
        <v>29</v>
      </c>
      <c r="F67" s="14" t="s">
        <v>72</v>
      </c>
      <c r="G67" s="15" t="s">
        <v>278</v>
      </c>
    </row>
    <row r="68" customFormat="false" ht="27.75" hidden="false" customHeight="true" outlineLevel="0" collapsed="false">
      <c r="A68" s="11" t="s">
        <v>279</v>
      </c>
      <c r="B68" s="12" t="s">
        <v>227</v>
      </c>
      <c r="C68" s="12" t="s">
        <v>280</v>
      </c>
      <c r="D68" s="12" t="s">
        <v>281</v>
      </c>
      <c r="E68" s="16" t="s">
        <v>137</v>
      </c>
      <c r="F68" s="11" t="s">
        <v>72</v>
      </c>
      <c r="G68" s="12" t="s">
        <v>215</v>
      </c>
    </row>
    <row r="69" customFormat="false" ht="27.75" hidden="false" customHeight="true" outlineLevel="0" collapsed="false">
      <c r="A69" s="14" t="s">
        <v>282</v>
      </c>
      <c r="B69" s="15" t="s">
        <v>227</v>
      </c>
      <c r="C69" s="15" t="s">
        <v>283</v>
      </c>
      <c r="D69" s="15" t="s">
        <v>284</v>
      </c>
      <c r="E69" s="13" t="s">
        <v>29</v>
      </c>
      <c r="F69" s="14" t="s">
        <v>72</v>
      </c>
      <c r="G69" s="15" t="s">
        <v>285</v>
      </c>
    </row>
    <row r="70" customFormat="false" ht="27.75" hidden="false" customHeight="true" outlineLevel="0" collapsed="false">
      <c r="A70" s="11" t="s">
        <v>286</v>
      </c>
      <c r="B70" s="12" t="s">
        <v>227</v>
      </c>
      <c r="C70" s="12" t="s">
        <v>287</v>
      </c>
      <c r="D70" s="12" t="s">
        <v>288</v>
      </c>
      <c r="E70" s="13" t="s">
        <v>29</v>
      </c>
      <c r="F70" s="11" t="s">
        <v>72</v>
      </c>
      <c r="G70" s="12" t="s">
        <v>289</v>
      </c>
    </row>
    <row r="71" customFormat="false" ht="27.75" hidden="false" customHeight="true" outlineLevel="0" collapsed="false">
      <c r="A71" s="14" t="s">
        <v>290</v>
      </c>
      <c r="B71" s="15" t="s">
        <v>227</v>
      </c>
      <c r="C71" s="15" t="s">
        <v>291</v>
      </c>
      <c r="D71" s="15" t="s">
        <v>292</v>
      </c>
      <c r="E71" s="13" t="s">
        <v>29</v>
      </c>
      <c r="F71" s="14" t="s">
        <v>72</v>
      </c>
      <c r="G71" s="15" t="s">
        <v>293</v>
      </c>
    </row>
    <row r="72" customFormat="false" ht="27.75" hidden="false" customHeight="true" outlineLevel="0" collapsed="false">
      <c r="A72" s="11" t="s">
        <v>294</v>
      </c>
      <c r="B72" s="12" t="s">
        <v>227</v>
      </c>
      <c r="C72" s="12" t="s">
        <v>295</v>
      </c>
      <c r="D72" s="12" t="s">
        <v>296</v>
      </c>
      <c r="E72" s="13" t="s">
        <v>29</v>
      </c>
      <c r="F72" s="11" t="s">
        <v>72</v>
      </c>
      <c r="G72" s="12" t="s">
        <v>297</v>
      </c>
    </row>
    <row r="73" customFormat="false" ht="27.75" hidden="false" customHeight="true" outlineLevel="0" collapsed="false">
      <c r="A73" s="14" t="s">
        <v>298</v>
      </c>
      <c r="B73" s="15" t="s">
        <v>227</v>
      </c>
      <c r="C73" s="15" t="s">
        <v>299</v>
      </c>
      <c r="D73" s="15" t="s">
        <v>300</v>
      </c>
      <c r="E73" s="13" t="s">
        <v>29</v>
      </c>
      <c r="F73" s="14" t="s">
        <v>72</v>
      </c>
      <c r="G73" s="15" t="s">
        <v>301</v>
      </c>
    </row>
    <row r="74" customFormat="false" ht="27.75" hidden="false" customHeight="true" outlineLevel="0" collapsed="false">
      <c r="A74" s="11" t="s">
        <v>302</v>
      </c>
      <c r="B74" s="12" t="s">
        <v>227</v>
      </c>
      <c r="C74" s="12" t="s">
        <v>303</v>
      </c>
      <c r="D74" s="12" t="s">
        <v>304</v>
      </c>
      <c r="E74" s="13" t="s">
        <v>29</v>
      </c>
      <c r="F74" s="11" t="s">
        <v>72</v>
      </c>
      <c r="G74" s="12" t="s">
        <v>305</v>
      </c>
    </row>
    <row r="75" customFormat="false" ht="27.75" hidden="false" customHeight="true" outlineLevel="0" collapsed="false">
      <c r="A75" s="14" t="s">
        <v>306</v>
      </c>
      <c r="B75" s="15" t="s">
        <v>227</v>
      </c>
      <c r="C75" s="15" t="s">
        <v>307</v>
      </c>
      <c r="D75" s="15" t="s">
        <v>308</v>
      </c>
      <c r="E75" s="16" t="s">
        <v>137</v>
      </c>
      <c r="F75" s="14" t="s">
        <v>72</v>
      </c>
      <c r="G75" s="15" t="s">
        <v>309</v>
      </c>
    </row>
    <row r="76" customFormat="false" ht="27.75" hidden="false" customHeight="true" outlineLevel="0" collapsed="false">
      <c r="A76" s="11" t="s">
        <v>310</v>
      </c>
      <c r="B76" s="12" t="s">
        <v>227</v>
      </c>
      <c r="C76" s="12" t="s">
        <v>311</v>
      </c>
      <c r="D76" s="12" t="s">
        <v>312</v>
      </c>
      <c r="E76" s="16" t="s">
        <v>137</v>
      </c>
      <c r="F76" s="11" t="s">
        <v>72</v>
      </c>
      <c r="G76" s="12" t="s">
        <v>313</v>
      </c>
    </row>
    <row r="77" customFormat="false" ht="27.75" hidden="false" customHeight="true" outlineLevel="0" collapsed="false">
      <c r="A77" s="14" t="s">
        <v>314</v>
      </c>
      <c r="B77" s="15" t="s">
        <v>227</v>
      </c>
      <c r="C77" s="15" t="s">
        <v>315</v>
      </c>
      <c r="D77" s="15" t="s">
        <v>316</v>
      </c>
      <c r="E77" s="13" t="s">
        <v>29</v>
      </c>
      <c r="F77" s="14" t="s">
        <v>72</v>
      </c>
      <c r="G77" s="15" t="s">
        <v>317</v>
      </c>
    </row>
    <row r="78" customFormat="false" ht="27.75" hidden="false" customHeight="true" outlineLevel="0" collapsed="false">
      <c r="A78" s="11" t="s">
        <v>318</v>
      </c>
      <c r="B78" s="12" t="s">
        <v>227</v>
      </c>
      <c r="C78" s="12" t="s">
        <v>319</v>
      </c>
      <c r="D78" s="12" t="s">
        <v>320</v>
      </c>
      <c r="E78" s="13" t="s">
        <v>29</v>
      </c>
      <c r="F78" s="11" t="s">
        <v>72</v>
      </c>
      <c r="G78" s="12" t="s">
        <v>321</v>
      </c>
    </row>
    <row r="79" customFormat="false" ht="27.75" hidden="false" customHeight="true" outlineLevel="0" collapsed="false">
      <c r="A79" s="14" t="s">
        <v>322</v>
      </c>
      <c r="B79" s="15" t="s">
        <v>227</v>
      </c>
      <c r="C79" s="15" t="s">
        <v>323</v>
      </c>
      <c r="D79" s="15" t="s">
        <v>324</v>
      </c>
      <c r="E79" s="13" t="s">
        <v>29</v>
      </c>
      <c r="F79" s="14" t="s">
        <v>72</v>
      </c>
      <c r="G79" s="15" t="s">
        <v>325</v>
      </c>
    </row>
    <row r="80" customFormat="false" ht="27.75" hidden="false" customHeight="true" outlineLevel="0" collapsed="false">
      <c r="A80" s="11" t="s">
        <v>326</v>
      </c>
      <c r="B80" s="12" t="s">
        <v>227</v>
      </c>
      <c r="C80" s="12" t="s">
        <v>327</v>
      </c>
      <c r="D80" s="12" t="s">
        <v>328</v>
      </c>
      <c r="E80" s="16" t="s">
        <v>137</v>
      </c>
      <c r="F80" s="11" t="s">
        <v>162</v>
      </c>
      <c r="G80" s="12" t="s">
        <v>329</v>
      </c>
    </row>
    <row r="81" customFormat="false" ht="27.75" hidden="false" customHeight="true" outlineLevel="0" collapsed="false">
      <c r="A81" s="14" t="s">
        <v>330</v>
      </c>
      <c r="B81" s="15" t="s">
        <v>227</v>
      </c>
      <c r="C81" s="15" t="s">
        <v>331</v>
      </c>
      <c r="D81" s="15" t="s">
        <v>332</v>
      </c>
      <c r="E81" s="17" t="s">
        <v>196</v>
      </c>
      <c r="F81" s="14" t="s">
        <v>197</v>
      </c>
      <c r="G81" s="15" t="s">
        <v>333</v>
      </c>
    </row>
    <row r="82" customFormat="false" ht="27.75" hidden="false" customHeight="true" outlineLevel="0" collapsed="false">
      <c r="A82" s="11" t="s">
        <v>334</v>
      </c>
      <c r="B82" s="12" t="s">
        <v>227</v>
      </c>
      <c r="C82" s="12" t="s">
        <v>335</v>
      </c>
      <c r="D82" s="12" t="s">
        <v>336</v>
      </c>
      <c r="E82" s="17" t="s">
        <v>196</v>
      </c>
      <c r="F82" s="11" t="s">
        <v>197</v>
      </c>
      <c r="G82" s="12" t="s">
        <v>337</v>
      </c>
    </row>
    <row r="83" customFormat="false" ht="27.75" hidden="false" customHeight="true" outlineLevel="0" collapsed="false">
      <c r="A83" s="14" t="s">
        <v>338</v>
      </c>
      <c r="B83" s="15" t="s">
        <v>227</v>
      </c>
      <c r="C83" s="15" t="s">
        <v>339</v>
      </c>
      <c r="D83" s="15" t="s">
        <v>340</v>
      </c>
      <c r="E83" s="17" t="s">
        <v>196</v>
      </c>
      <c r="F83" s="14" t="s">
        <v>197</v>
      </c>
      <c r="G83" s="15" t="s">
        <v>341</v>
      </c>
    </row>
    <row r="84" customFormat="false" ht="27.75" hidden="false" customHeight="true" outlineLevel="0" collapsed="false">
      <c r="A84" s="11" t="s">
        <v>342</v>
      </c>
      <c r="B84" s="12" t="s">
        <v>343</v>
      </c>
      <c r="C84" s="12" t="s">
        <v>344</v>
      </c>
      <c r="D84" s="12" t="s">
        <v>345</v>
      </c>
      <c r="E84" s="16" t="s">
        <v>137</v>
      </c>
      <c r="F84" s="11" t="s">
        <v>346</v>
      </c>
      <c r="G84" s="12" t="s">
        <v>347</v>
      </c>
    </row>
    <row r="85" customFormat="false" ht="27.75" hidden="false" customHeight="true" outlineLevel="0" collapsed="false">
      <c r="A85" s="14" t="s">
        <v>348</v>
      </c>
      <c r="B85" s="15" t="s">
        <v>343</v>
      </c>
      <c r="C85" s="15" t="s">
        <v>349</v>
      </c>
      <c r="D85" s="15" t="s">
        <v>350</v>
      </c>
      <c r="E85" s="13" t="s">
        <v>29</v>
      </c>
      <c r="F85" s="14" t="s">
        <v>72</v>
      </c>
      <c r="G85" s="15" t="s">
        <v>278</v>
      </c>
    </row>
    <row r="86" customFormat="false" ht="27.75" hidden="false" customHeight="true" outlineLevel="0" collapsed="false">
      <c r="A86" s="11" t="s">
        <v>351</v>
      </c>
      <c r="B86" s="12" t="s">
        <v>343</v>
      </c>
      <c r="C86" s="12" t="s">
        <v>352</v>
      </c>
      <c r="D86" s="12" t="s">
        <v>353</v>
      </c>
      <c r="E86" s="16" t="s">
        <v>137</v>
      </c>
      <c r="F86" s="11" t="s">
        <v>273</v>
      </c>
      <c r="G86" s="12" t="s">
        <v>354</v>
      </c>
    </row>
    <row r="87" customFormat="false" ht="27.75" hidden="false" customHeight="true" outlineLevel="0" collapsed="false">
      <c r="A87" s="14" t="s">
        <v>355</v>
      </c>
      <c r="B87" s="15" t="s">
        <v>343</v>
      </c>
      <c r="C87" s="15" t="s">
        <v>356</v>
      </c>
      <c r="D87" s="15" t="s">
        <v>357</v>
      </c>
      <c r="E87" s="17" t="s">
        <v>196</v>
      </c>
      <c r="F87" s="14" t="s">
        <v>358</v>
      </c>
      <c r="G87" s="15" t="s">
        <v>359</v>
      </c>
    </row>
    <row r="88" customFormat="false" ht="27.75" hidden="false" customHeight="true" outlineLevel="0" collapsed="false">
      <c r="A88" s="11" t="s">
        <v>360</v>
      </c>
      <c r="B88" s="12" t="s">
        <v>343</v>
      </c>
      <c r="C88" s="12" t="s">
        <v>361</v>
      </c>
      <c r="D88" s="12" t="s">
        <v>362</v>
      </c>
      <c r="E88" s="16" t="s">
        <v>137</v>
      </c>
      <c r="F88" s="11" t="s">
        <v>72</v>
      </c>
      <c r="G88" s="12" t="s">
        <v>363</v>
      </c>
    </row>
    <row r="89" customFormat="false" ht="27.75" hidden="false" customHeight="true" outlineLevel="0" collapsed="false">
      <c r="A89" s="14" t="s">
        <v>364</v>
      </c>
      <c r="B89" s="15" t="s">
        <v>343</v>
      </c>
      <c r="C89" s="15" t="s">
        <v>365</v>
      </c>
      <c r="D89" s="15" t="s">
        <v>366</v>
      </c>
      <c r="E89" s="16" t="s">
        <v>137</v>
      </c>
      <c r="F89" s="14" t="s">
        <v>367</v>
      </c>
      <c r="G89" s="15" t="s">
        <v>368</v>
      </c>
    </row>
    <row r="90" customFormat="false" ht="27.75" hidden="false" customHeight="true" outlineLevel="0" collapsed="false">
      <c r="A90" s="11" t="s">
        <v>369</v>
      </c>
      <c r="B90" s="12" t="s">
        <v>343</v>
      </c>
      <c r="C90" s="12" t="s">
        <v>370</v>
      </c>
      <c r="D90" s="12" t="s">
        <v>371</v>
      </c>
      <c r="E90" s="17" t="s">
        <v>196</v>
      </c>
      <c r="F90" s="11" t="s">
        <v>358</v>
      </c>
      <c r="G90" s="12" t="s">
        <v>372</v>
      </c>
    </row>
    <row r="91" customFormat="false" ht="27.75" hidden="false" customHeight="true" outlineLevel="0" collapsed="false">
      <c r="A91" s="14" t="s">
        <v>373</v>
      </c>
      <c r="B91" s="15" t="s">
        <v>343</v>
      </c>
      <c r="C91" s="15" t="s">
        <v>374</v>
      </c>
      <c r="D91" s="15" t="s">
        <v>375</v>
      </c>
      <c r="E91" s="16" t="s">
        <v>137</v>
      </c>
      <c r="F91" s="14" t="s">
        <v>72</v>
      </c>
      <c r="G91" s="15" t="s">
        <v>376</v>
      </c>
    </row>
    <row r="92" customFormat="false" ht="27.75" hidden="false" customHeight="true" outlineLevel="0" collapsed="false">
      <c r="A92" s="11" t="s">
        <v>377</v>
      </c>
      <c r="B92" s="12" t="s">
        <v>343</v>
      </c>
      <c r="C92" s="12" t="s">
        <v>378</v>
      </c>
      <c r="D92" s="12" t="s">
        <v>379</v>
      </c>
      <c r="E92" s="16" t="s">
        <v>137</v>
      </c>
      <c r="F92" s="11" t="s">
        <v>346</v>
      </c>
      <c r="G92" s="12" t="s">
        <v>380</v>
      </c>
    </row>
    <row r="93" customFormat="false" ht="27.75" hidden="false" customHeight="true" outlineLevel="0" collapsed="false">
      <c r="A93" s="14" t="s">
        <v>381</v>
      </c>
      <c r="B93" s="15" t="s">
        <v>343</v>
      </c>
      <c r="C93" s="15" t="s">
        <v>382</v>
      </c>
      <c r="D93" s="15" t="s">
        <v>383</v>
      </c>
      <c r="E93" s="16" t="s">
        <v>137</v>
      </c>
      <c r="F93" s="14" t="s">
        <v>72</v>
      </c>
      <c r="G93" s="15" t="s">
        <v>384</v>
      </c>
    </row>
    <row r="94" customFormat="false" ht="27.75" hidden="false" customHeight="true" outlineLevel="0" collapsed="false">
      <c r="A94" s="11" t="s">
        <v>385</v>
      </c>
      <c r="B94" s="12" t="s">
        <v>343</v>
      </c>
      <c r="C94" s="12" t="s">
        <v>386</v>
      </c>
      <c r="D94" s="12" t="s">
        <v>387</v>
      </c>
      <c r="E94" s="13" t="s">
        <v>29</v>
      </c>
      <c r="F94" s="11" t="s">
        <v>72</v>
      </c>
      <c r="G94" s="12" t="s">
        <v>388</v>
      </c>
    </row>
    <row r="95" customFormat="false" ht="27.75" hidden="false" customHeight="true" outlineLevel="0" collapsed="false">
      <c r="A95" s="14" t="s">
        <v>389</v>
      </c>
      <c r="B95" s="15" t="s">
        <v>343</v>
      </c>
      <c r="C95" s="15" t="s">
        <v>390</v>
      </c>
      <c r="D95" s="15" t="s">
        <v>391</v>
      </c>
      <c r="E95" s="16" t="s">
        <v>137</v>
      </c>
      <c r="F95" s="14" t="s">
        <v>162</v>
      </c>
      <c r="G95" s="15" t="s">
        <v>392</v>
      </c>
    </row>
    <row r="96" customFormat="false" ht="27.75" hidden="false" customHeight="true" outlineLevel="0" collapsed="false">
      <c r="A96" s="11" t="s">
        <v>393</v>
      </c>
      <c r="B96" s="12" t="s">
        <v>343</v>
      </c>
      <c r="C96" s="12" t="s">
        <v>394</v>
      </c>
      <c r="D96" s="12" t="s">
        <v>395</v>
      </c>
      <c r="E96" s="16" t="s">
        <v>137</v>
      </c>
      <c r="F96" s="11" t="s">
        <v>184</v>
      </c>
      <c r="G96" s="12" t="s">
        <v>396</v>
      </c>
    </row>
    <row r="97" customFormat="false" ht="27.75" hidden="false" customHeight="true" outlineLevel="0" collapsed="false">
      <c r="A97" s="14" t="s">
        <v>397</v>
      </c>
      <c r="B97" s="15" t="s">
        <v>343</v>
      </c>
      <c r="C97" s="15" t="s">
        <v>398</v>
      </c>
      <c r="D97" s="15" t="s">
        <v>399</v>
      </c>
      <c r="E97" s="17" t="s">
        <v>196</v>
      </c>
      <c r="F97" s="14" t="s">
        <v>197</v>
      </c>
      <c r="G97" s="15" t="s">
        <v>211</v>
      </c>
    </row>
    <row r="98" customFormat="false" ht="27.75" hidden="false" customHeight="true" outlineLevel="0" collapsed="false">
      <c r="A98" s="11" t="s">
        <v>400</v>
      </c>
      <c r="B98" s="12" t="s">
        <v>343</v>
      </c>
      <c r="C98" s="12" t="s">
        <v>401</v>
      </c>
      <c r="D98" s="12" t="s">
        <v>402</v>
      </c>
      <c r="E98" s="16" t="s">
        <v>137</v>
      </c>
      <c r="F98" s="11" t="s">
        <v>72</v>
      </c>
      <c r="G98" s="12" t="s">
        <v>396</v>
      </c>
    </row>
    <row r="99" customFormat="false" ht="27.75" hidden="false" customHeight="true" outlineLevel="0" collapsed="false">
      <c r="A99" s="14" t="s">
        <v>403</v>
      </c>
      <c r="B99" s="15" t="s">
        <v>343</v>
      </c>
      <c r="C99" s="15" t="s">
        <v>404</v>
      </c>
      <c r="D99" s="15" t="s">
        <v>405</v>
      </c>
      <c r="E99" s="16" t="s">
        <v>137</v>
      </c>
      <c r="F99" s="14" t="s">
        <v>273</v>
      </c>
      <c r="G99" s="15" t="s">
        <v>406</v>
      </c>
    </row>
    <row r="100" customFormat="false" ht="27.75" hidden="false" customHeight="true" outlineLevel="0" collapsed="false">
      <c r="A100" s="11" t="s">
        <v>407</v>
      </c>
      <c r="B100" s="12" t="s">
        <v>343</v>
      </c>
      <c r="C100" s="12" t="s">
        <v>408</v>
      </c>
      <c r="D100" s="12" t="s">
        <v>409</v>
      </c>
      <c r="E100" s="17" t="s">
        <v>196</v>
      </c>
      <c r="F100" s="11" t="s">
        <v>197</v>
      </c>
      <c r="G100" s="12" t="s">
        <v>211</v>
      </c>
    </row>
    <row r="101" customFormat="false" ht="27.75" hidden="false" customHeight="true" outlineLevel="0" collapsed="false">
      <c r="A101" s="14" t="s">
        <v>410</v>
      </c>
      <c r="B101" s="15" t="s">
        <v>343</v>
      </c>
      <c r="C101" s="15" t="s">
        <v>411</v>
      </c>
      <c r="D101" s="15" t="s">
        <v>412</v>
      </c>
      <c r="E101" s="16" t="s">
        <v>137</v>
      </c>
      <c r="F101" s="14" t="s">
        <v>162</v>
      </c>
      <c r="G101" s="15" t="s">
        <v>413</v>
      </c>
    </row>
    <row r="102" customFormat="false" ht="27.75" hidden="false" customHeight="true" outlineLevel="0" collapsed="false">
      <c r="A102" s="11" t="s">
        <v>414</v>
      </c>
      <c r="B102" s="12" t="s">
        <v>415</v>
      </c>
      <c r="C102" s="12" t="s">
        <v>416</v>
      </c>
      <c r="D102" s="12" t="s">
        <v>417</v>
      </c>
      <c r="E102" s="13" t="s">
        <v>29</v>
      </c>
      <c r="F102" s="11" t="s">
        <v>72</v>
      </c>
      <c r="G102" s="12" t="s">
        <v>293</v>
      </c>
    </row>
    <row r="103" customFormat="false" ht="27.75" hidden="false" customHeight="true" outlineLevel="0" collapsed="false">
      <c r="A103" s="14" t="s">
        <v>418</v>
      </c>
      <c r="B103" s="15" t="s">
        <v>415</v>
      </c>
      <c r="C103" s="15" t="s">
        <v>419</v>
      </c>
      <c r="D103" s="15" t="s">
        <v>420</v>
      </c>
      <c r="E103" s="13" t="s">
        <v>29</v>
      </c>
      <c r="F103" s="14" t="s">
        <v>72</v>
      </c>
      <c r="G103" s="15" t="s">
        <v>293</v>
      </c>
    </row>
    <row r="104" customFormat="false" ht="27.75" hidden="false" customHeight="true" outlineLevel="0" collapsed="false">
      <c r="A104" s="11" t="s">
        <v>421</v>
      </c>
      <c r="B104" s="12" t="s">
        <v>415</v>
      </c>
      <c r="C104" s="12" t="s">
        <v>422</v>
      </c>
      <c r="D104" s="12" t="s">
        <v>423</v>
      </c>
      <c r="E104" s="13" t="s">
        <v>29</v>
      </c>
      <c r="F104" s="11" t="s">
        <v>72</v>
      </c>
      <c r="G104" s="12" t="s">
        <v>293</v>
      </c>
    </row>
    <row r="105" customFormat="false" ht="27.75" hidden="false" customHeight="true" outlineLevel="0" collapsed="false">
      <c r="A105" s="14" t="s">
        <v>424</v>
      </c>
      <c r="B105" s="15" t="s">
        <v>415</v>
      </c>
      <c r="C105" s="15" t="s">
        <v>425</v>
      </c>
      <c r="D105" s="15" t="s">
        <v>426</v>
      </c>
      <c r="E105" s="13" t="s">
        <v>29</v>
      </c>
      <c r="F105" s="14" t="s">
        <v>72</v>
      </c>
      <c r="G105" s="15" t="s">
        <v>427</v>
      </c>
    </row>
    <row r="106" customFormat="false" ht="27.75" hidden="false" customHeight="true" outlineLevel="0" collapsed="false">
      <c r="A106" s="11" t="s">
        <v>428</v>
      </c>
      <c r="B106" s="12" t="s">
        <v>415</v>
      </c>
      <c r="C106" s="12" t="s">
        <v>429</v>
      </c>
      <c r="D106" s="12" t="s">
        <v>430</v>
      </c>
      <c r="E106" s="13" t="s">
        <v>29</v>
      </c>
      <c r="F106" s="11" t="s">
        <v>72</v>
      </c>
      <c r="G106" s="12" t="s">
        <v>431</v>
      </c>
    </row>
    <row r="107" customFormat="false" ht="27.75" hidden="false" customHeight="true" outlineLevel="0" collapsed="false">
      <c r="A107" s="14" t="s">
        <v>432</v>
      </c>
      <c r="B107" s="15" t="s">
        <v>415</v>
      </c>
      <c r="C107" s="15" t="s">
        <v>433</v>
      </c>
      <c r="D107" s="15" t="s">
        <v>434</v>
      </c>
      <c r="E107" s="13" t="s">
        <v>29</v>
      </c>
      <c r="F107" s="14" t="s">
        <v>72</v>
      </c>
      <c r="G107" s="15" t="s">
        <v>293</v>
      </c>
    </row>
    <row r="108" customFormat="false" ht="27.75" hidden="false" customHeight="true" outlineLevel="0" collapsed="false">
      <c r="A108" s="11" t="s">
        <v>435</v>
      </c>
      <c r="B108" s="12" t="s">
        <v>415</v>
      </c>
      <c r="C108" s="12" t="s">
        <v>436</v>
      </c>
      <c r="D108" s="12" t="s">
        <v>437</v>
      </c>
      <c r="E108" s="13" t="s">
        <v>29</v>
      </c>
      <c r="F108" s="11" t="s">
        <v>72</v>
      </c>
      <c r="G108" s="12" t="s">
        <v>438</v>
      </c>
    </row>
    <row r="109" customFormat="false" ht="27.75" hidden="false" customHeight="true" outlineLevel="0" collapsed="false">
      <c r="A109" s="14" t="s">
        <v>439</v>
      </c>
      <c r="B109" s="15" t="s">
        <v>415</v>
      </c>
      <c r="C109" s="15" t="s">
        <v>440</v>
      </c>
      <c r="D109" s="15" t="s">
        <v>441</v>
      </c>
      <c r="E109" s="13" t="s">
        <v>29</v>
      </c>
      <c r="F109" s="14" t="s">
        <v>72</v>
      </c>
      <c r="G109" s="15" t="s">
        <v>442</v>
      </c>
    </row>
    <row r="110" customFormat="false" ht="27.75" hidden="false" customHeight="true" outlineLevel="0" collapsed="false">
      <c r="A110" s="11" t="s">
        <v>443</v>
      </c>
      <c r="B110" s="12" t="s">
        <v>415</v>
      </c>
      <c r="C110" s="12" t="s">
        <v>444</v>
      </c>
      <c r="D110" s="12" t="s">
        <v>445</v>
      </c>
      <c r="E110" s="13" t="s">
        <v>29</v>
      </c>
      <c r="F110" s="11" t="s">
        <v>72</v>
      </c>
      <c r="G110" s="12" t="s">
        <v>293</v>
      </c>
    </row>
    <row r="111" customFormat="false" ht="27.75" hidden="false" customHeight="true" outlineLevel="0" collapsed="false">
      <c r="A111" s="14" t="s">
        <v>446</v>
      </c>
      <c r="B111" s="15" t="s">
        <v>447</v>
      </c>
      <c r="C111" s="15" t="s">
        <v>448</v>
      </c>
      <c r="D111" s="15" t="s">
        <v>449</v>
      </c>
      <c r="E111" s="13" t="s">
        <v>29</v>
      </c>
      <c r="F111" s="14" t="s">
        <v>72</v>
      </c>
      <c r="G111" s="15" t="s">
        <v>450</v>
      </c>
    </row>
    <row r="112" customFormat="false" ht="27.75" hidden="false" customHeight="true" outlineLevel="0" collapsed="false">
      <c r="A112" s="11" t="s">
        <v>451</v>
      </c>
      <c r="B112" s="12" t="s">
        <v>447</v>
      </c>
      <c r="C112" s="12" t="s">
        <v>452</v>
      </c>
      <c r="D112" s="12" t="s">
        <v>453</v>
      </c>
      <c r="E112" s="13" t="s">
        <v>29</v>
      </c>
      <c r="F112" s="11" t="s">
        <v>30</v>
      </c>
      <c r="G112" s="12" t="s">
        <v>454</v>
      </c>
    </row>
    <row r="113" customFormat="false" ht="27.75" hidden="false" customHeight="true" outlineLevel="0" collapsed="false">
      <c r="A113" s="14" t="s">
        <v>455</v>
      </c>
      <c r="B113" s="15" t="s">
        <v>447</v>
      </c>
      <c r="C113" s="15" t="s">
        <v>456</v>
      </c>
      <c r="D113" s="15" t="s">
        <v>457</v>
      </c>
      <c r="E113" s="13" t="s">
        <v>29</v>
      </c>
      <c r="F113" s="14" t="s">
        <v>72</v>
      </c>
      <c r="G113" s="15" t="s">
        <v>458</v>
      </c>
    </row>
    <row r="114" customFormat="false" ht="27.75" hidden="false" customHeight="true" outlineLevel="0" collapsed="false">
      <c r="A114" s="11" t="s">
        <v>459</v>
      </c>
      <c r="B114" s="12" t="s">
        <v>447</v>
      </c>
      <c r="C114" s="12" t="s">
        <v>460</v>
      </c>
      <c r="D114" s="12" t="s">
        <v>461</v>
      </c>
      <c r="E114" s="13" t="s">
        <v>29</v>
      </c>
      <c r="F114" s="11" t="s">
        <v>72</v>
      </c>
      <c r="G114" s="12" t="s">
        <v>462</v>
      </c>
    </row>
    <row r="115" customFormat="false" ht="27.75" hidden="false" customHeight="true" outlineLevel="0" collapsed="false">
      <c r="A115" s="14" t="s">
        <v>463</v>
      </c>
      <c r="B115" s="15" t="s">
        <v>447</v>
      </c>
      <c r="C115" s="15" t="s">
        <v>464</v>
      </c>
      <c r="D115" s="15" t="s">
        <v>465</v>
      </c>
      <c r="E115" s="13" t="s">
        <v>29</v>
      </c>
      <c r="F115" s="14" t="s">
        <v>72</v>
      </c>
      <c r="G115" s="15" t="s">
        <v>466</v>
      </c>
    </row>
    <row r="116" customFormat="false" ht="27.75" hidden="false" customHeight="true" outlineLevel="0" collapsed="false">
      <c r="A116" s="11" t="s">
        <v>467</v>
      </c>
      <c r="B116" s="12" t="s">
        <v>447</v>
      </c>
      <c r="C116" s="12" t="s">
        <v>468</v>
      </c>
      <c r="D116" s="12" t="s">
        <v>469</v>
      </c>
      <c r="E116" s="13" t="s">
        <v>29</v>
      </c>
      <c r="F116" s="11" t="s">
        <v>72</v>
      </c>
      <c r="G116" s="12" t="s">
        <v>470</v>
      </c>
    </row>
    <row r="117" customFormat="false" ht="27.75" hidden="false" customHeight="true" outlineLevel="0" collapsed="false">
      <c r="A117" s="14" t="s">
        <v>471</v>
      </c>
      <c r="B117" s="15" t="s">
        <v>447</v>
      </c>
      <c r="C117" s="15" t="s">
        <v>472</v>
      </c>
      <c r="D117" s="15" t="s">
        <v>473</v>
      </c>
      <c r="E117" s="13" t="s">
        <v>29</v>
      </c>
      <c r="F117" s="14" t="s">
        <v>72</v>
      </c>
      <c r="G117" s="15" t="s">
        <v>450</v>
      </c>
    </row>
    <row r="118" customFormat="false" ht="27.75" hidden="false" customHeight="true" outlineLevel="0" collapsed="false">
      <c r="A118" s="11" t="s">
        <v>474</v>
      </c>
      <c r="B118" s="12" t="s">
        <v>447</v>
      </c>
      <c r="C118" s="12" t="s">
        <v>475</v>
      </c>
      <c r="D118" s="12" t="s">
        <v>476</v>
      </c>
      <c r="E118" s="13" t="s">
        <v>29</v>
      </c>
      <c r="F118" s="11" t="s">
        <v>72</v>
      </c>
      <c r="G118" s="12" t="s">
        <v>477</v>
      </c>
    </row>
    <row r="119" customFormat="false" ht="27.75" hidden="false" customHeight="true" outlineLevel="0" collapsed="false">
      <c r="A119" s="14" t="s">
        <v>478</v>
      </c>
      <c r="B119" s="15" t="s">
        <v>447</v>
      </c>
      <c r="C119" s="15" t="s">
        <v>479</v>
      </c>
      <c r="D119" s="15" t="s">
        <v>480</v>
      </c>
      <c r="E119" s="17" t="s">
        <v>196</v>
      </c>
      <c r="F119" s="14" t="s">
        <v>197</v>
      </c>
      <c r="G119" s="15" t="s">
        <v>481</v>
      </c>
    </row>
    <row r="120" customFormat="false" ht="27.75" hidden="false" customHeight="true" outlineLevel="0" collapsed="false">
      <c r="A120" s="11" t="s">
        <v>482</v>
      </c>
      <c r="B120" s="12" t="s">
        <v>483</v>
      </c>
      <c r="C120" s="12" t="s">
        <v>484</v>
      </c>
      <c r="D120" s="12" t="s">
        <v>485</v>
      </c>
      <c r="E120" s="13" t="s">
        <v>29</v>
      </c>
      <c r="F120" s="11" t="s">
        <v>72</v>
      </c>
      <c r="G120" s="12" t="s">
        <v>293</v>
      </c>
    </row>
    <row r="121" customFormat="false" ht="27.75" hidden="false" customHeight="true" outlineLevel="0" collapsed="false">
      <c r="A121" s="14" t="s">
        <v>486</v>
      </c>
      <c r="B121" s="15" t="s">
        <v>483</v>
      </c>
      <c r="C121" s="15" t="s">
        <v>487</v>
      </c>
      <c r="D121" s="15" t="s">
        <v>488</v>
      </c>
      <c r="E121" s="13" t="s">
        <v>29</v>
      </c>
      <c r="F121" s="14" t="s">
        <v>72</v>
      </c>
      <c r="G121" s="15" t="s">
        <v>489</v>
      </c>
    </row>
    <row r="122" customFormat="false" ht="27.75" hidden="false" customHeight="true" outlineLevel="0" collapsed="false">
      <c r="A122" s="11" t="s">
        <v>490</v>
      </c>
      <c r="B122" s="12" t="s">
        <v>483</v>
      </c>
      <c r="C122" s="12" t="s">
        <v>491</v>
      </c>
      <c r="D122" s="12" t="s">
        <v>492</v>
      </c>
      <c r="E122" s="13" t="s">
        <v>29</v>
      </c>
      <c r="F122" s="11" t="s">
        <v>30</v>
      </c>
      <c r="G122" s="12" t="s">
        <v>493</v>
      </c>
    </row>
    <row r="123" customFormat="false" ht="27.75" hidden="false" customHeight="true" outlineLevel="0" collapsed="false">
      <c r="A123" s="14" t="s">
        <v>494</v>
      </c>
      <c r="B123" s="15" t="s">
        <v>483</v>
      </c>
      <c r="C123" s="15" t="s">
        <v>495</v>
      </c>
      <c r="D123" s="15" t="s">
        <v>496</v>
      </c>
      <c r="E123" s="16" t="s">
        <v>137</v>
      </c>
      <c r="F123" s="14" t="s">
        <v>72</v>
      </c>
      <c r="G123" s="15" t="s">
        <v>384</v>
      </c>
    </row>
    <row r="124" customFormat="false" ht="27.75" hidden="false" customHeight="true" outlineLevel="0" collapsed="false">
      <c r="A124" s="11" t="s">
        <v>497</v>
      </c>
      <c r="B124" s="12" t="s">
        <v>483</v>
      </c>
      <c r="C124" s="12" t="s">
        <v>498</v>
      </c>
      <c r="D124" s="12" t="s">
        <v>499</v>
      </c>
      <c r="E124" s="13" t="s">
        <v>29</v>
      </c>
      <c r="F124" s="11" t="s">
        <v>72</v>
      </c>
      <c r="G124" s="12" t="s">
        <v>500</v>
      </c>
    </row>
    <row r="125" customFormat="false" ht="27.75" hidden="false" customHeight="true" outlineLevel="0" collapsed="false">
      <c r="A125" s="14" t="s">
        <v>501</v>
      </c>
      <c r="B125" s="15" t="s">
        <v>483</v>
      </c>
      <c r="C125" s="15" t="s">
        <v>502</v>
      </c>
      <c r="D125" s="15" t="s">
        <v>503</v>
      </c>
      <c r="E125" s="16" t="s">
        <v>137</v>
      </c>
      <c r="F125" s="14" t="s">
        <v>273</v>
      </c>
      <c r="G125" s="15" t="s">
        <v>504</v>
      </c>
    </row>
    <row r="126" customFormat="false" ht="27.75" hidden="false" customHeight="true" outlineLevel="0" collapsed="false">
      <c r="A126" s="11" t="s">
        <v>505</v>
      </c>
      <c r="B126" s="12" t="s">
        <v>483</v>
      </c>
      <c r="C126" s="12" t="s">
        <v>506</v>
      </c>
      <c r="D126" s="12" t="s">
        <v>507</v>
      </c>
      <c r="E126" s="16" t="s">
        <v>137</v>
      </c>
      <c r="F126" s="11" t="s">
        <v>273</v>
      </c>
      <c r="G126" s="12" t="s">
        <v>508</v>
      </c>
    </row>
    <row r="127" customFormat="false" ht="27.75" hidden="false" customHeight="true" outlineLevel="0" collapsed="false">
      <c r="A127" s="14" t="s">
        <v>509</v>
      </c>
      <c r="B127" s="15" t="s">
        <v>483</v>
      </c>
      <c r="C127" s="15" t="s">
        <v>510</v>
      </c>
      <c r="D127" s="15" t="s">
        <v>511</v>
      </c>
      <c r="E127" s="13" t="s">
        <v>29</v>
      </c>
      <c r="F127" s="14" t="s">
        <v>72</v>
      </c>
      <c r="G127" s="15" t="s">
        <v>512</v>
      </c>
    </row>
    <row r="128" customFormat="false" ht="27.75" hidden="false" customHeight="true" outlineLevel="0" collapsed="false">
      <c r="A128" s="11" t="s">
        <v>513</v>
      </c>
      <c r="B128" s="12" t="s">
        <v>483</v>
      </c>
      <c r="C128" s="12" t="s">
        <v>514</v>
      </c>
      <c r="D128" s="12" t="s">
        <v>515</v>
      </c>
      <c r="E128" s="13" t="s">
        <v>29</v>
      </c>
      <c r="F128" s="11" t="s">
        <v>30</v>
      </c>
      <c r="G128" s="12" t="s">
        <v>516</v>
      </c>
    </row>
    <row r="129" customFormat="false" ht="27.75" hidden="false" customHeight="true" outlineLevel="0" collapsed="false">
      <c r="A129" s="14" t="s">
        <v>517</v>
      </c>
      <c r="B129" s="15" t="s">
        <v>518</v>
      </c>
      <c r="C129" s="15" t="s">
        <v>519</v>
      </c>
      <c r="D129" s="15" t="s">
        <v>520</v>
      </c>
      <c r="E129" s="13" t="s">
        <v>29</v>
      </c>
      <c r="F129" s="14" t="s">
        <v>72</v>
      </c>
      <c r="G129" s="15" t="s">
        <v>521</v>
      </c>
    </row>
    <row r="130" customFormat="false" ht="27.75" hidden="false" customHeight="true" outlineLevel="0" collapsed="false">
      <c r="A130" s="11" t="s">
        <v>522</v>
      </c>
      <c r="B130" s="12" t="s">
        <v>518</v>
      </c>
      <c r="C130" s="12" t="s">
        <v>523</v>
      </c>
      <c r="D130" s="12" t="s">
        <v>524</v>
      </c>
      <c r="E130" s="13" t="s">
        <v>29</v>
      </c>
      <c r="F130" s="11" t="s">
        <v>72</v>
      </c>
      <c r="G130" s="12" t="s">
        <v>525</v>
      </c>
    </row>
    <row r="131" customFormat="false" ht="27.75" hidden="false" customHeight="true" outlineLevel="0" collapsed="false">
      <c r="A131" s="14" t="s">
        <v>526</v>
      </c>
      <c r="B131" s="15" t="s">
        <v>518</v>
      </c>
      <c r="C131" s="15" t="s">
        <v>527</v>
      </c>
      <c r="D131" s="15" t="s">
        <v>528</v>
      </c>
      <c r="E131" s="16" t="s">
        <v>137</v>
      </c>
      <c r="F131" s="14" t="s">
        <v>346</v>
      </c>
      <c r="G131" s="15" t="s">
        <v>529</v>
      </c>
    </row>
    <row r="132" customFormat="false" ht="27.75" hidden="false" customHeight="true" outlineLevel="0" collapsed="false">
      <c r="A132" s="11" t="s">
        <v>530</v>
      </c>
      <c r="B132" s="12" t="s">
        <v>518</v>
      </c>
      <c r="C132" s="12" t="s">
        <v>531</v>
      </c>
      <c r="D132" s="12" t="s">
        <v>532</v>
      </c>
      <c r="E132" s="13" t="s">
        <v>29</v>
      </c>
      <c r="F132" s="11" t="s">
        <v>72</v>
      </c>
      <c r="G132" s="12" t="s">
        <v>533</v>
      </c>
    </row>
    <row r="133" customFormat="false" ht="27.75" hidden="false" customHeight="true" outlineLevel="0" collapsed="false">
      <c r="A133" s="14" t="s">
        <v>534</v>
      </c>
      <c r="B133" s="15" t="s">
        <v>518</v>
      </c>
      <c r="C133" s="15" t="s">
        <v>535</v>
      </c>
      <c r="D133" s="15" t="s">
        <v>536</v>
      </c>
      <c r="E133" s="13" t="s">
        <v>29</v>
      </c>
      <c r="F133" s="14" t="s">
        <v>72</v>
      </c>
      <c r="G133" s="15" t="s">
        <v>537</v>
      </c>
    </row>
    <row r="134" customFormat="false" ht="27.75" hidden="false" customHeight="true" outlineLevel="0" collapsed="false">
      <c r="A134" s="11" t="s">
        <v>538</v>
      </c>
      <c r="B134" s="12" t="s">
        <v>518</v>
      </c>
      <c r="C134" s="12" t="s">
        <v>539</v>
      </c>
      <c r="D134" s="12" t="s">
        <v>540</v>
      </c>
      <c r="E134" s="16" t="s">
        <v>137</v>
      </c>
      <c r="F134" s="11" t="s">
        <v>72</v>
      </c>
      <c r="G134" s="12" t="s">
        <v>541</v>
      </c>
    </row>
    <row r="135" customFormat="false" ht="27.75" hidden="false" customHeight="true" outlineLevel="0" collapsed="false">
      <c r="A135" s="14" t="s">
        <v>542</v>
      </c>
      <c r="B135" s="15" t="s">
        <v>518</v>
      </c>
      <c r="C135" s="15" t="s">
        <v>543</v>
      </c>
      <c r="D135" s="15" t="s">
        <v>544</v>
      </c>
      <c r="E135" s="16" t="s">
        <v>137</v>
      </c>
      <c r="F135" s="14" t="s">
        <v>545</v>
      </c>
      <c r="G135" s="15" t="s">
        <v>546</v>
      </c>
    </row>
    <row r="136" customFormat="false" ht="27.75" hidden="false" customHeight="true" outlineLevel="0" collapsed="false">
      <c r="A136" s="11" t="s">
        <v>547</v>
      </c>
      <c r="B136" s="12" t="s">
        <v>518</v>
      </c>
      <c r="C136" s="12" t="s">
        <v>548</v>
      </c>
      <c r="D136" s="12" t="s">
        <v>549</v>
      </c>
      <c r="E136" s="13" t="s">
        <v>29</v>
      </c>
      <c r="F136" s="11" t="s">
        <v>72</v>
      </c>
      <c r="G136" s="12" t="s">
        <v>550</v>
      </c>
    </row>
  </sheetData>
  <autoFilter ref="A1:G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18" t="s">
        <v>551</v>
      </c>
    </row>
    <row r="3" customFormat="false" ht="21.75" hidden="false" customHeight="true" outlineLevel="0" collapsed="false">
      <c r="A3" s="10" t="s">
        <v>19</v>
      </c>
      <c r="B3" s="10" t="s">
        <v>552</v>
      </c>
      <c r="C3" s="10" t="s">
        <v>137</v>
      </c>
      <c r="D3" s="10" t="s">
        <v>196</v>
      </c>
      <c r="E3" s="10" t="s">
        <v>553</v>
      </c>
      <c r="F3" s="10" t="s">
        <v>554</v>
      </c>
    </row>
    <row r="4" customFormat="false" ht="15" hidden="false" customHeight="false" outlineLevel="0" collapsed="false">
      <c r="A4" s="19" t="s">
        <v>26</v>
      </c>
      <c r="B4" s="20" t="n">
        <f aca="false">COUNTIFS('Audit Points'!$B:$B,$A4,'Audit Points'!$E:$E,"Full")</f>
        <v>25</v>
      </c>
      <c r="C4" s="20" t="n">
        <f aca="false">COUNTIFS('Audit Points'!$B:$B,$A4,'Audit Points'!$E:$E,"Partial")</f>
        <v>0</v>
      </c>
      <c r="D4" s="20" t="n">
        <f aca="false">COUNTIFS('Audit Points'!$B:$B,$A4,'Audit Points'!$E:$E,"Manual")</f>
        <v>0</v>
      </c>
      <c r="E4" s="20" t="n">
        <f aca="false">SUM(B4:D4)</f>
        <v>25</v>
      </c>
      <c r="F4" s="21" t="n">
        <f aca="false">IF(E4=0,0,(B4+C4*0.5)/E4)</f>
        <v>1</v>
      </c>
    </row>
    <row r="5" customFormat="false" ht="15" hidden="false" customHeight="false" outlineLevel="0" collapsed="false">
      <c r="A5" s="22" t="s">
        <v>126</v>
      </c>
      <c r="B5" s="23" t="n">
        <f aca="false">COUNTIFS('Audit Points'!$B:$B,$A5,'Audit Points'!$E:$E,"Full")</f>
        <v>13</v>
      </c>
      <c r="C5" s="23" t="n">
        <f aca="false">COUNTIFS('Audit Points'!$B:$B,$A5,'Audit Points'!$E:$E,"Partial")</f>
        <v>8</v>
      </c>
      <c r="D5" s="23" t="n">
        <f aca="false">COUNTIFS('Audit Points'!$B:$B,$A5,'Audit Points'!$E:$E,"Manual")</f>
        <v>5</v>
      </c>
      <c r="E5" s="23" t="n">
        <f aca="false">SUM(B5:D5)</f>
        <v>26</v>
      </c>
      <c r="F5" s="24" t="n">
        <f aca="false">IF(E5=0,0,(B5+C5*0.5)/E5)</f>
        <v>0.653846153846154</v>
      </c>
    </row>
    <row r="6" customFormat="false" ht="15" hidden="false" customHeight="false" outlineLevel="0" collapsed="false">
      <c r="A6" s="19" t="s">
        <v>227</v>
      </c>
      <c r="B6" s="20" t="n">
        <f aca="false">COUNTIFS('Audit Points'!$B:$B,$A6,'Audit Points'!$E:$E,"Full")</f>
        <v>23</v>
      </c>
      <c r="C6" s="20" t="n">
        <f aca="false">COUNTIFS('Audit Points'!$B:$B,$A6,'Audit Points'!$E:$E,"Partial")</f>
        <v>5</v>
      </c>
      <c r="D6" s="20" t="n">
        <f aca="false">COUNTIFS('Audit Points'!$B:$B,$A6,'Audit Points'!$E:$E,"Manual")</f>
        <v>3</v>
      </c>
      <c r="E6" s="20" t="n">
        <f aca="false">SUM(B6:D6)</f>
        <v>31</v>
      </c>
      <c r="F6" s="21" t="n">
        <f aca="false">IF(E6=0,0,(B6+C6*0.5)/E6)</f>
        <v>0.82258064516129</v>
      </c>
    </row>
    <row r="7" customFormat="false" ht="15" hidden="false" customHeight="false" outlineLevel="0" collapsed="false">
      <c r="A7" s="22" t="s">
        <v>343</v>
      </c>
      <c r="B7" s="23" t="n">
        <f aca="false">COUNTIFS('Audit Points'!$B:$B,$A7,'Audit Points'!$E:$E,"Full")</f>
        <v>2</v>
      </c>
      <c r="C7" s="23" t="n">
        <f aca="false">COUNTIFS('Audit Points'!$B:$B,$A7,'Audit Points'!$E:$E,"Partial")</f>
        <v>12</v>
      </c>
      <c r="D7" s="23" t="n">
        <f aca="false">COUNTIFS('Audit Points'!$B:$B,$A7,'Audit Points'!$E:$E,"Manual")</f>
        <v>4</v>
      </c>
      <c r="E7" s="23" t="n">
        <f aca="false">SUM(B7:D7)</f>
        <v>18</v>
      </c>
      <c r="F7" s="24" t="n">
        <f aca="false">IF(E7=0,0,(B7+C7*0.5)/E7)</f>
        <v>0.444444444444444</v>
      </c>
    </row>
    <row r="8" customFormat="false" ht="15" hidden="false" customHeight="false" outlineLevel="0" collapsed="false">
      <c r="A8" s="19" t="s">
        <v>415</v>
      </c>
      <c r="B8" s="20" t="n">
        <f aca="false">COUNTIFS('Audit Points'!$B:$B,$A8,'Audit Points'!$E:$E,"Full")</f>
        <v>9</v>
      </c>
      <c r="C8" s="20" t="n">
        <f aca="false">COUNTIFS('Audit Points'!$B:$B,$A8,'Audit Points'!$E:$E,"Partial")</f>
        <v>0</v>
      </c>
      <c r="D8" s="20" t="n">
        <f aca="false">COUNTIFS('Audit Points'!$B:$B,$A8,'Audit Points'!$E:$E,"Manual")</f>
        <v>0</v>
      </c>
      <c r="E8" s="20" t="n">
        <f aca="false">SUM(B8:D8)</f>
        <v>9</v>
      </c>
      <c r="F8" s="21" t="n">
        <f aca="false">IF(E8=0,0,(B8+C8*0.5)/E8)</f>
        <v>1</v>
      </c>
    </row>
    <row r="9" customFormat="false" ht="15" hidden="false" customHeight="false" outlineLevel="0" collapsed="false">
      <c r="A9" s="22" t="s">
        <v>447</v>
      </c>
      <c r="B9" s="23" t="n">
        <f aca="false">COUNTIFS('Audit Points'!$B:$B,$A9,'Audit Points'!$E:$E,"Full")</f>
        <v>8</v>
      </c>
      <c r="C9" s="23" t="n">
        <f aca="false">COUNTIFS('Audit Points'!$B:$B,$A9,'Audit Points'!$E:$E,"Partial")</f>
        <v>0</v>
      </c>
      <c r="D9" s="23" t="n">
        <f aca="false">COUNTIFS('Audit Points'!$B:$B,$A9,'Audit Points'!$E:$E,"Manual")</f>
        <v>1</v>
      </c>
      <c r="E9" s="23" t="n">
        <f aca="false">SUM(B9:D9)</f>
        <v>9</v>
      </c>
      <c r="F9" s="24" t="n">
        <f aca="false">IF(E9=0,0,(B9+C9*0.5)/E9)</f>
        <v>0.888888888888889</v>
      </c>
    </row>
    <row r="10" customFormat="false" ht="15" hidden="false" customHeight="false" outlineLevel="0" collapsed="false">
      <c r="A10" s="19" t="s">
        <v>483</v>
      </c>
      <c r="B10" s="20" t="n">
        <f aca="false">COUNTIFS('Audit Points'!$B:$B,$A10,'Audit Points'!$E:$E,"Full")</f>
        <v>6</v>
      </c>
      <c r="C10" s="20" t="n">
        <f aca="false">COUNTIFS('Audit Points'!$B:$B,$A10,'Audit Points'!$E:$E,"Partial")</f>
        <v>3</v>
      </c>
      <c r="D10" s="20" t="n">
        <f aca="false">COUNTIFS('Audit Points'!$B:$B,$A10,'Audit Points'!$E:$E,"Manual")</f>
        <v>0</v>
      </c>
      <c r="E10" s="20" t="n">
        <f aca="false">SUM(B10:D10)</f>
        <v>9</v>
      </c>
      <c r="F10" s="21" t="n">
        <f aca="false">IF(E10=0,0,(B10+C10*0.5)/E10)</f>
        <v>0.833333333333333</v>
      </c>
    </row>
    <row r="11" customFormat="false" ht="15" hidden="false" customHeight="false" outlineLevel="0" collapsed="false">
      <c r="A11" s="22" t="s">
        <v>518</v>
      </c>
      <c r="B11" s="23" t="n">
        <f aca="false">COUNTIFS('Audit Points'!$B:$B,$A11,'Audit Points'!$E:$E,"Full")</f>
        <v>5</v>
      </c>
      <c r="C11" s="23" t="n">
        <f aca="false">COUNTIFS('Audit Points'!$B:$B,$A11,'Audit Points'!$E:$E,"Partial")</f>
        <v>3</v>
      </c>
      <c r="D11" s="23" t="n">
        <f aca="false">COUNTIFS('Audit Points'!$B:$B,$A11,'Audit Points'!$E:$E,"Manual")</f>
        <v>0</v>
      </c>
      <c r="E11" s="23" t="n">
        <f aca="false">SUM(B11:D11)</f>
        <v>8</v>
      </c>
      <c r="F11" s="24" t="n">
        <f aca="false">IF(E11=0,0,(B11+C11*0.5)/E11)</f>
        <v>0.8125</v>
      </c>
    </row>
    <row r="12" customFormat="false" ht="15" hidden="false" customHeight="false" outlineLevel="0" collapsed="false">
      <c r="A12" s="25" t="s">
        <v>555</v>
      </c>
      <c r="B12" s="26" t="n">
        <f aca="false">SUM(B4:B11)</f>
        <v>91</v>
      </c>
      <c r="C12" s="26" t="n">
        <f aca="false">SUM(C4:C11)</f>
        <v>31</v>
      </c>
      <c r="D12" s="26" t="n">
        <f aca="false">SUM(D4:D11)</f>
        <v>13</v>
      </c>
      <c r="E12" s="26" t="n">
        <f aca="false">SUM(B12:D12)</f>
        <v>135</v>
      </c>
      <c r="F12" s="27" t="n">
        <f aca="false">IF(E12=0,0,(B12+C12*0.5)/E12)</f>
        <v>0.788888888888889</v>
      </c>
    </row>
    <row r="14" customFormat="false" ht="15" hidden="false" customHeight="false" outlineLevel="0" collapsed="false">
      <c r="A14" s="28" t="s">
        <v>556</v>
      </c>
      <c r="B14" s="28"/>
      <c r="C14" s="28"/>
      <c r="D14" s="28"/>
      <c r="E14" s="28"/>
      <c r="F14" s="28"/>
    </row>
    <row r="16" customFormat="false" ht="15" hidden="false" customHeight="true" outlineLevel="0" collapsed="false">
      <c r="A16" s="29" t="s">
        <v>557</v>
      </c>
      <c r="B16" s="29"/>
      <c r="C16" s="29"/>
      <c r="D16" s="29"/>
      <c r="E16" s="29"/>
      <c r="F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</row>
  </sheetData>
  <mergeCells count="2">
    <mergeCell ref="A14:F14"/>
    <mergeCell ref="A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10" t="s">
        <v>558</v>
      </c>
      <c r="B1" s="10" t="s">
        <v>559</v>
      </c>
      <c r="C1" s="10" t="s">
        <v>560</v>
      </c>
      <c r="D1" s="10" t="s">
        <v>561</v>
      </c>
    </row>
    <row r="2" customFormat="false" ht="25.5" hidden="false" customHeight="true" outlineLevel="0" collapsed="false">
      <c r="A2" s="30" t="s">
        <v>562</v>
      </c>
      <c r="B2" s="31" t="s">
        <v>563</v>
      </c>
      <c r="C2" s="31" t="s">
        <v>564</v>
      </c>
      <c r="D2" s="31" t="s">
        <v>565</v>
      </c>
    </row>
    <row r="3" customFormat="false" ht="25.5" hidden="false" customHeight="true" outlineLevel="0" collapsed="false">
      <c r="A3" s="32" t="s">
        <v>566</v>
      </c>
      <c r="B3" s="33" t="s">
        <v>567</v>
      </c>
      <c r="C3" s="33" t="s">
        <v>568</v>
      </c>
      <c r="D3" s="33" t="s">
        <v>569</v>
      </c>
    </row>
    <row r="4" customFormat="false" ht="25.5" hidden="false" customHeight="true" outlineLevel="0" collapsed="false">
      <c r="A4" s="30" t="s">
        <v>570</v>
      </c>
      <c r="B4" s="31" t="s">
        <v>571</v>
      </c>
      <c r="C4" s="31" t="s">
        <v>572</v>
      </c>
      <c r="D4" s="31" t="s">
        <v>573</v>
      </c>
    </row>
    <row r="5" customFormat="false" ht="25.5" hidden="false" customHeight="true" outlineLevel="0" collapsed="false">
      <c r="A5" s="32" t="s">
        <v>574</v>
      </c>
      <c r="B5" s="33" t="s">
        <v>26</v>
      </c>
      <c r="C5" s="33" t="s">
        <v>575</v>
      </c>
      <c r="D5" s="33" t="s">
        <v>576</v>
      </c>
    </row>
    <row r="6" customFormat="false" ht="25.5" hidden="false" customHeight="true" outlineLevel="0" collapsed="false">
      <c r="A6" s="30" t="s">
        <v>577</v>
      </c>
      <c r="B6" s="31" t="s">
        <v>26</v>
      </c>
      <c r="C6" s="31" t="s">
        <v>578</v>
      </c>
      <c r="D6" s="31" t="s">
        <v>579</v>
      </c>
    </row>
    <row r="7" customFormat="false" ht="25.5" hidden="false" customHeight="true" outlineLevel="0" collapsed="false">
      <c r="A7" s="32" t="s">
        <v>580</v>
      </c>
      <c r="B7" s="33" t="s">
        <v>581</v>
      </c>
      <c r="C7" s="33" t="s">
        <v>582</v>
      </c>
      <c r="D7" s="33" t="s">
        <v>583</v>
      </c>
    </row>
    <row r="8" customFormat="false" ht="25.5" hidden="false" customHeight="true" outlineLevel="0" collapsed="false">
      <c r="A8" s="30" t="s">
        <v>133</v>
      </c>
      <c r="B8" s="31" t="s">
        <v>126</v>
      </c>
      <c r="C8" s="31" t="s">
        <v>584</v>
      </c>
      <c r="D8" s="31" t="s">
        <v>585</v>
      </c>
    </row>
    <row r="9" customFormat="false" ht="25.5" hidden="false" customHeight="true" outlineLevel="0" collapsed="false">
      <c r="A9" s="32" t="s">
        <v>586</v>
      </c>
      <c r="B9" s="33" t="s">
        <v>126</v>
      </c>
      <c r="C9" s="33" t="s">
        <v>587</v>
      </c>
      <c r="D9" s="33" t="s">
        <v>588</v>
      </c>
    </row>
    <row r="10" customFormat="false" ht="25.5" hidden="false" customHeight="true" outlineLevel="0" collapsed="false">
      <c r="A10" s="30" t="s">
        <v>589</v>
      </c>
      <c r="B10" s="31" t="s">
        <v>126</v>
      </c>
      <c r="C10" s="31" t="s">
        <v>590</v>
      </c>
      <c r="D10" s="31" t="s">
        <v>591</v>
      </c>
    </row>
    <row r="11" customFormat="false" ht="25.5" hidden="false" customHeight="true" outlineLevel="0" collapsed="false">
      <c r="A11" s="32" t="s">
        <v>592</v>
      </c>
      <c r="B11" s="33" t="s">
        <v>593</v>
      </c>
      <c r="C11" s="33" t="s">
        <v>594</v>
      </c>
      <c r="D11" s="33" t="s">
        <v>595</v>
      </c>
    </row>
    <row r="12" customFormat="false" ht="25.5" hidden="false" customHeight="true" outlineLevel="0" collapsed="false">
      <c r="A12" s="30" t="s">
        <v>285</v>
      </c>
      <c r="B12" s="31" t="s">
        <v>596</v>
      </c>
      <c r="C12" s="31" t="s">
        <v>597</v>
      </c>
      <c r="D12" s="31" t="s">
        <v>598</v>
      </c>
    </row>
    <row r="13" customFormat="false" ht="25.5" hidden="false" customHeight="true" outlineLevel="0" collapsed="false">
      <c r="A13" s="32" t="s">
        <v>599</v>
      </c>
      <c r="B13" s="33" t="s">
        <v>600</v>
      </c>
      <c r="C13" s="33" t="s">
        <v>601</v>
      </c>
      <c r="D13" s="33" t="s">
        <v>602</v>
      </c>
    </row>
    <row r="14" customFormat="false" ht="25.5" hidden="false" customHeight="true" outlineLevel="0" collapsed="false">
      <c r="A14" s="30" t="s">
        <v>603</v>
      </c>
      <c r="B14" s="31" t="s">
        <v>447</v>
      </c>
      <c r="C14" s="31" t="s">
        <v>604</v>
      </c>
      <c r="D14" s="31" t="s">
        <v>605</v>
      </c>
    </row>
    <row r="15" customFormat="false" ht="25.5" hidden="false" customHeight="true" outlineLevel="0" collapsed="false">
      <c r="A15" s="32" t="s">
        <v>606</v>
      </c>
      <c r="B15" s="33" t="s">
        <v>447</v>
      </c>
      <c r="C15" s="33" t="s">
        <v>607</v>
      </c>
      <c r="D15" s="33" t="s">
        <v>608</v>
      </c>
    </row>
    <row r="16" customFormat="false" ht="25.5" hidden="false" customHeight="true" outlineLevel="0" collapsed="false">
      <c r="A16" s="30" t="s">
        <v>470</v>
      </c>
      <c r="B16" s="31" t="s">
        <v>447</v>
      </c>
      <c r="C16" s="31" t="s">
        <v>609</v>
      </c>
      <c r="D16" s="31" t="s">
        <v>610</v>
      </c>
    </row>
    <row r="17" customFormat="false" ht="25.5" hidden="false" customHeight="true" outlineLevel="0" collapsed="false">
      <c r="A17" s="32" t="s">
        <v>611</v>
      </c>
      <c r="B17" s="33" t="s">
        <v>447</v>
      </c>
      <c r="C17" s="33" t="s">
        <v>612</v>
      </c>
      <c r="D17" s="33" t="s">
        <v>613</v>
      </c>
    </row>
    <row r="18" customFormat="false" ht="25.5" hidden="false" customHeight="true" outlineLevel="0" collapsed="false">
      <c r="A18" s="30" t="s">
        <v>431</v>
      </c>
      <c r="B18" s="31" t="s">
        <v>415</v>
      </c>
      <c r="C18" s="31" t="s">
        <v>614</v>
      </c>
      <c r="D18" s="31" t="s">
        <v>615</v>
      </c>
    </row>
    <row r="19" customFormat="false" ht="25.5" hidden="false" customHeight="true" outlineLevel="0" collapsed="false">
      <c r="A19" s="32" t="s">
        <v>616</v>
      </c>
      <c r="B19" s="33" t="s">
        <v>415</v>
      </c>
      <c r="C19" s="33" t="s">
        <v>617</v>
      </c>
      <c r="D19" s="33" t="s">
        <v>618</v>
      </c>
    </row>
    <row r="20" customFormat="false" ht="25.5" hidden="false" customHeight="true" outlineLevel="0" collapsed="false">
      <c r="A20" s="30" t="s">
        <v>619</v>
      </c>
      <c r="B20" s="31" t="s">
        <v>26</v>
      </c>
      <c r="C20" s="31" t="s">
        <v>620</v>
      </c>
      <c r="D20" s="31" t="s">
        <v>621</v>
      </c>
    </row>
    <row r="21" customFormat="false" ht="25.5" hidden="false" customHeight="true" outlineLevel="0" collapsed="false">
      <c r="A21" s="32" t="s">
        <v>533</v>
      </c>
      <c r="B21" s="33" t="s">
        <v>622</v>
      </c>
      <c r="C21" s="33" t="s">
        <v>623</v>
      </c>
      <c r="D21" s="33" t="s">
        <v>624</v>
      </c>
    </row>
    <row r="22" customFormat="false" ht="25.5" hidden="false" customHeight="true" outlineLevel="0" collapsed="false">
      <c r="A22" s="30" t="s">
        <v>625</v>
      </c>
      <c r="B22" s="31" t="s">
        <v>626</v>
      </c>
      <c r="C22" s="31" t="s">
        <v>627</v>
      </c>
      <c r="D22" s="31" t="s">
        <v>628</v>
      </c>
    </row>
    <row r="23" customFormat="false" ht="25.5" hidden="false" customHeight="true" outlineLevel="0" collapsed="false">
      <c r="A23" s="32" t="s">
        <v>629</v>
      </c>
      <c r="B23" s="33" t="s">
        <v>626</v>
      </c>
      <c r="C23" s="33" t="s">
        <v>630</v>
      </c>
      <c r="D23" s="33" t="s">
        <v>631</v>
      </c>
    </row>
    <row r="24" customFormat="false" ht="25.5" hidden="false" customHeight="true" outlineLevel="0" collapsed="false">
      <c r="A24" s="30" t="s">
        <v>632</v>
      </c>
      <c r="B24" s="31" t="s">
        <v>633</v>
      </c>
      <c r="C24" s="31" t="s">
        <v>634</v>
      </c>
      <c r="D24" s="31" t="s">
        <v>635</v>
      </c>
    </row>
    <row r="25" customFormat="false" ht="25.5" hidden="false" customHeight="true" outlineLevel="0" collapsed="false">
      <c r="A25" s="32" t="s">
        <v>636</v>
      </c>
      <c r="B25" s="33" t="s">
        <v>633</v>
      </c>
      <c r="C25" s="33" t="s">
        <v>637</v>
      </c>
      <c r="D25" s="33" t="s">
        <v>638</v>
      </c>
    </row>
    <row r="26" customFormat="false" ht="25.5" hidden="false" customHeight="true" outlineLevel="0" collapsed="false">
      <c r="A26" s="30" t="s">
        <v>639</v>
      </c>
      <c r="B26" s="31" t="s">
        <v>545</v>
      </c>
      <c r="C26" s="31" t="s">
        <v>640</v>
      </c>
      <c r="D26" s="31" t="s">
        <v>641</v>
      </c>
    </row>
    <row r="27" customFormat="false" ht="25.5" hidden="false" customHeight="true" outlineLevel="0" collapsed="false">
      <c r="A27" s="32" t="s">
        <v>642</v>
      </c>
      <c r="B27" s="33" t="s">
        <v>138</v>
      </c>
      <c r="C27" s="33" t="s">
        <v>643</v>
      </c>
      <c r="D27" s="33" t="s">
        <v>644</v>
      </c>
    </row>
    <row r="28" customFormat="false" ht="25.5" hidden="false" customHeight="true" outlineLevel="0" collapsed="false">
      <c r="A28" s="30" t="s">
        <v>645</v>
      </c>
      <c r="B28" s="31" t="s">
        <v>646</v>
      </c>
      <c r="C28" s="31" t="s">
        <v>647</v>
      </c>
      <c r="D28" s="31" t="s">
        <v>648</v>
      </c>
    </row>
    <row r="29" customFormat="false" ht="25.5" hidden="false" customHeight="true" outlineLevel="0" collapsed="false">
      <c r="A29" s="32" t="s">
        <v>649</v>
      </c>
      <c r="B29" s="33" t="s">
        <v>650</v>
      </c>
      <c r="C29" s="33" t="s">
        <v>651</v>
      </c>
      <c r="D29" s="33" t="s">
        <v>652</v>
      </c>
    </row>
  </sheetData>
  <autoFilter ref="A1:D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2026-07-07T02:38:58Z</dcterms:created>
  <dc:creator>openpyxl</dc:creator>
  <dc:description/>
  <dc:language>en-US</dc:language>
  <cp:lastModifiedBy/>
  <dcterms:modified xsi:type="dcterms:W3CDTF">2026-07-07T02:38:58Z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