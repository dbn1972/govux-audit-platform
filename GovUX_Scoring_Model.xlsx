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" sheetId="1" state="visible" r:id="rId3"/>
    <sheet name="Scoring Model" sheetId="2" state="visible" r:id="rId4"/>
    <sheet name="Phase-1 ML Plan" sheetId="3" state="visible" r:id="rId5"/>
    <sheet name="Score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<sst xmlns="http://schemas.openxmlformats.org/spreadsheetml/2006/main" count="423" uniqueCount="315">
  <si>
    <t xml:space="preserve">GovUX Scoring Model — Parameters &amp; How the Score Is Computed</t>
  </si>
  <si>
    <t xml:space="preserve">Aligned to UX4G (MeitY/NeGD) audit parameters, WCAG 2.2 AA, GIGW 3.0 and Google Core Web Vitals. Every website score is fully traceable to the parameters below.</t>
  </si>
  <si>
    <t xml:space="preserve">The scoring logic — in plain terms</t>
  </si>
  <si>
    <t xml:space="preserve">1.  Every parameter is measured on a 0–100 scale (a pass-rate, a normalised metric, or a rubric score).</t>
  </si>
  <si>
    <t xml:space="preserve">2.  Parameters roll up into a Category Score = the weighted average of that category's parameters (weights shown in the model).</t>
  </si>
  <si>
    <t xml:space="preserve">3.  The overall GovUX Score = the weighted sum of the eight Category Scores. Category weights reflect citizen impact and legal obligation and sum to 100%.</t>
  </si>
  <si>
    <t xml:space="preserve">4.  The score maps to a band:  A 90–100 Exemplary · B 75–89 Strong · C 60–74 Needs work · D 40–59 At risk · E below 40 Critical.</t>
  </si>
  <si>
    <t xml:space="preserve">5.  Guard-rail: a critical accessibility or security failure (e.g. keyboard-inoperable, or no HTTPS) CAPS the attainable band at C until fixed — because these are legal, not cosmetic, failures.</t>
  </si>
  <si>
    <t xml:space="preserve">Category weights (why they are what they are)</t>
  </si>
  <si>
    <t xml:space="preserve">• Accessibility 22% and GIGW 15% carry the most weight because they are legal duties (RPwD Act, GIGW mandate).</t>
  </si>
  <si>
    <t xml:space="preserve">• Usability &amp; UX 17% and Design foundation 11% capture the UX4G core — whether citizens can actually complete tasks.</t>
  </si>
  <si>
    <t xml:space="preserve">• Performance 12% and Responsiveness &amp; Compatibility 10% reflect that citizens use varied devices, screen sizes and browsers on constrained networks (responsive, multi-browser and multi-device-size checks).</t>
  </si>
  <si>
    <t xml:space="preserve">• Content 7% and Trust/Security 6% round out clarity and safety. Weights are configurable and version-controlled.</t>
  </si>
  <si>
    <t xml:space="preserve">Where the numbers come from</t>
  </si>
  <si>
    <t xml:space="preserve">~68% of parameters are measured by deterministic open-source tools with NO AI (Lighthouse, axe-core, Playwright, requests, lxml). The remainder (alt-text meaning, plain-language, visual hierarchy) are scored by a human or an LLM/VLM assist and are flagged 'Partial/Manual' in the model.</t>
  </si>
  <si>
    <t xml:space="preserve">How to use the 'Scoring Model' sheet</t>
  </si>
  <si>
    <t xml:space="preserve">Enter each parameter's measured value in the highlighted 'Measured (0–100)' column. Category scores, the overall GovUX Score and the band recompute automatically. The sheet is pre-filled with a worked example (a mid-tier savings-certificate portal) so you can see a real score being justified.</t>
  </si>
  <si>
    <t xml:space="preserve">The 'Score Summary' sheet shows the category roll-up, the final score, the band, and whether the guard-rail is active.</t>
  </si>
  <si>
    <t xml:space="preserve">Category / Parameter</t>
  </si>
  <si>
    <t xml:space="preserve">How it is scored (what 'good' looks like)</t>
  </si>
  <si>
    <t xml:space="preserve">Wt %</t>
  </si>
  <si>
    <t xml:space="preserve">Measured (0-100)</t>
  </si>
  <si>
    <t xml:space="preserve">Weighted</t>
  </si>
  <si>
    <t xml:space="preserve">Tool</t>
  </si>
  <si>
    <t xml:space="preserve">Auto</t>
  </si>
  <si>
    <t xml:space="preserve">Accessibility (WCAG 2.2 AA)</t>
  </si>
  <si>
    <t xml:space="preserve">22% wt</t>
  </si>
  <si>
    <t xml:space="preserve">   Colour contrast (1.4.3)</t>
  </si>
  <si>
    <t xml:space="preserve">% of text meeting 4.5:1 (3:1 large)</t>
  </si>
  <si>
    <t xml:space="preserve">axe-core</t>
  </si>
  <si>
    <t xml:space="preserve">Full</t>
  </si>
  <si>
    <t xml:space="preserve">   Alt text present &amp; meaningful</t>
  </si>
  <si>
    <t xml:space="preserve">Images have alt AND it describes them</t>
  </si>
  <si>
    <t xml:space="preserve">axe-core + VLM</t>
  </si>
  <si>
    <t xml:space="preserve">Part</t>
  </si>
  <si>
    <t xml:space="preserve">   Keyboard operability (2.1.1)</t>
  </si>
  <si>
    <t xml:space="preserve">All functions usable by keyboard, no traps</t>
  </si>
  <si>
    <t xml:space="preserve">Playwright + manual</t>
  </si>
  <si>
    <t xml:space="preserve">   Form labels &amp; instructions</t>
  </si>
  <si>
    <t xml:space="preserve">Inputs have programmatic labels/help</t>
  </si>
  <si>
    <t xml:space="preserve">   Headings &amp; structure (1.3.1)</t>
  </si>
  <si>
    <t xml:space="preserve">Logical headings, no skipped levels</t>
  </si>
  <si>
    <t xml:space="preserve">   ARIA &amp; semantics (4.1.2)</t>
  </si>
  <si>
    <t xml:space="preserve">Valid roles, names, landmarks</t>
  </si>
  <si>
    <t xml:space="preserve">   Focus visible &amp; order (2.4.7/2.4.11)</t>
  </si>
  <si>
    <t xml:space="preserve">Visible focus, sensible order</t>
  </si>
  <si>
    <t xml:space="preserve">   Target size (2.5.8)</t>
  </si>
  <si>
    <t xml:space="preserve">Tap/click targets &gt;= 24px</t>
  </si>
  <si>
    <t xml:space="preserve">Playwright geometry</t>
  </si>
  <si>
    <t xml:space="preserve">   Media alternatives (1.2.x)</t>
  </si>
  <si>
    <t xml:space="preserve">Captions/transcripts present &amp; correct</t>
  </si>
  <si>
    <t xml:space="preserve">DOM + manual</t>
  </si>
  <si>
    <t xml:space="preserve">   Language attributes (3.1.1)</t>
  </si>
  <si>
    <t xml:space="preserve">html lang correct; parts tagged</t>
  </si>
  <si>
    <t xml:space="preserve">   Accessible authentication (3.3.8)</t>
  </si>
  <si>
    <t xml:space="preserve">No cognitive-only login test</t>
  </si>
  <si>
    <t xml:space="preserve">manual</t>
  </si>
  <si>
    <t xml:space="preserve">Man</t>
  </si>
  <si>
    <t xml:space="preserve">   Screen-reader pass</t>
  </si>
  <si>
    <t xml:space="preserve">Key journeys work with NVDA/TalkBack</t>
  </si>
  <si>
    <t xml:space="preserve">NVDA testing</t>
  </si>
  <si>
    <t xml:space="preserve">   → Category score</t>
  </si>
  <si>
    <t xml:space="preserve">weighted average of parameters above</t>
  </si>
  <si>
    <t xml:space="preserve">Usability &amp; UX heuristics</t>
  </si>
  <si>
    <t xml:space="preserve">17% wt</t>
  </si>
  <si>
    <t xml:space="preserve">   Navigation clarity &amp; IA</t>
  </si>
  <si>
    <t xml:space="preserve">Intuitive menus, shallow paths, breadcrumbs</t>
  </si>
  <si>
    <t xml:space="preserve">DOM + LLM/manual</t>
  </si>
  <si>
    <t xml:space="preserve">   Visibility of system status</t>
  </si>
  <si>
    <t xml:space="preserve">Clear feedback on every action</t>
  </si>
  <si>
    <t xml:space="preserve">   Match to real world / plain labels</t>
  </si>
  <si>
    <t xml:space="preserve">Citizen language, not jargon</t>
  </si>
  <si>
    <t xml:space="preserve">LLM + manual</t>
  </si>
  <si>
    <t xml:space="preserve">   User control &amp; freedom</t>
  </si>
  <si>
    <t xml:space="preserve">Undo, back, escape hatches</t>
  </si>
  <si>
    <t xml:space="preserve">   Consistency &amp; standards</t>
  </si>
  <si>
    <t xml:space="preserve">Consistent patterns across the site</t>
  </si>
  <si>
    <t xml:space="preserve">DOM diff</t>
  </si>
  <si>
    <t xml:space="preserve">   Error prevention</t>
  </si>
  <si>
    <t xml:space="preserve">Guards against mistakes before they happen</t>
  </si>
  <si>
    <t xml:space="preserve">   Recognition over recall</t>
  </si>
  <si>
    <t xml:space="preserve">Options visible, low memory load</t>
  </si>
  <si>
    <t xml:space="preserve">   Flexibility &amp; efficiency</t>
  </si>
  <si>
    <t xml:space="preserve">Shortcuts/accelerators for repeat tasks</t>
  </si>
  <si>
    <t xml:space="preserve">   Search effectiveness</t>
  </si>
  <si>
    <t xml:space="preserve">Tolerant search, useful results, no dead-ends</t>
  </si>
  <si>
    <t xml:space="preserve">query probes</t>
  </si>
  <si>
    <t xml:space="preserve">   Form usability</t>
  </si>
  <si>
    <t xml:space="preserve">Few fields, inline validation, clear help</t>
  </si>
  <si>
    <t xml:space="preserve">DOM heuristics</t>
  </si>
  <si>
    <t xml:space="preserve">   Help &amp; documentation</t>
  </si>
  <si>
    <t xml:space="preserve">Findable, task-focused help</t>
  </si>
  <si>
    <t xml:space="preserve">Design foundation &amp; consistency (UX4G)</t>
  </si>
  <si>
    <t xml:space="preserve">11% wt</t>
  </si>
  <si>
    <t xml:space="preserve">   Typography system &amp; legibility</t>
  </si>
  <si>
    <t xml:space="preserve">Consistent, legible type scale</t>
  </si>
  <si>
    <t xml:space="preserve">CSS parse</t>
  </si>
  <si>
    <t xml:space="preserve">   Colour system &amp; usage</t>
  </si>
  <si>
    <t xml:space="preserve">Consistent, accessible palette</t>
  </si>
  <si>
    <t xml:space="preserve">screenshot analysis</t>
  </si>
  <si>
    <t xml:space="preserve">   Layout, grid &amp; spacing</t>
  </si>
  <si>
    <t xml:space="preserve">Aligned grid, adequate whitespace</t>
  </si>
  <si>
    <t xml:space="preserve">CSS/visual</t>
  </si>
  <si>
    <t xml:space="preserve">   Visual hierarchy</t>
  </si>
  <si>
    <t xml:space="preserve">Clear focal order, scannable</t>
  </si>
  <si>
    <t xml:space="preserve">VLM + manual</t>
  </si>
  <si>
    <t xml:space="preserve">   Design-system adherence</t>
  </si>
  <si>
    <t xml:space="preserve">Uses UX4G/standard components</t>
  </si>
  <si>
    <t xml:space="preserve">DOM class + diff</t>
  </si>
  <si>
    <t xml:space="preserve">   Iconography &amp; imagery</t>
  </si>
  <si>
    <t xml:space="preserve">Consistent, meaningful visuals</t>
  </si>
  <si>
    <t xml:space="preserve">visual review</t>
  </si>
  <si>
    <t xml:space="preserve">   Cross-page consistency</t>
  </si>
  <si>
    <t xml:space="preserve">Same patterns site-wide</t>
  </si>
  <si>
    <t xml:space="preserve">DOM/visual diff</t>
  </si>
  <si>
    <t xml:space="preserve">GIGW 3.0 mandatory compliance</t>
  </si>
  <si>
    <t xml:space="preserve">15% wt</t>
  </si>
  <si>
    <t xml:space="preserve">   Mandatory footer elements</t>
  </si>
  <si>
    <t xml:space="preserve">Contact, policies, copyright, T&amp;C present</t>
  </si>
  <si>
    <t xml:space="preserve">lxml/keyword</t>
  </si>
  <si>
    <t xml:space="preserve">   Last-updated &amp; content currency</t>
  </si>
  <si>
    <t xml:space="preserve">Freshness stamps; no stale pages</t>
  </si>
  <si>
    <t xml:space="preserve">regex + manual</t>
  </si>
  <si>
    <t xml:space="preserve">   Valid HTML / standards</t>
  </si>
  <si>
    <t xml:space="preserve">W3C-conformant markup</t>
  </si>
  <si>
    <t xml:space="preserve">Nu Html Checker</t>
  </si>
  <si>
    <t xml:space="preserve">   Broken-link freedom</t>
  </si>
  <si>
    <t xml:space="preserve">No 404s / dead links</t>
  </si>
  <si>
    <t xml:space="preserve">link crawler</t>
  </si>
  <si>
    <t xml:space="preserve">   Metadata completeness</t>
  </si>
  <si>
    <t xml:space="preserve">Title, description, viewport present</t>
  </si>
  <si>
    <t xml:space="preserve">lxml</t>
  </si>
  <si>
    <t xml:space="preserve">   HTTPS &amp; domain compliance</t>
  </si>
  <si>
    <t xml:space="preserve">TLS + approved .gov.in/.nic.in</t>
  </si>
  <si>
    <t xml:space="preserve">requests/ssl</t>
  </si>
  <si>
    <t xml:space="preserve">   Core facilities present</t>
  </si>
  <si>
    <t xml:space="preserve">Search, sitemap, feedback, RTI, help</t>
  </si>
  <si>
    <t xml:space="preserve">DOM/link crawl</t>
  </si>
  <si>
    <t xml:space="preserve">   Multilingual option</t>
  </si>
  <si>
    <t xml:space="preserve">Language switcher / Indic content</t>
  </si>
  <si>
    <t xml:space="preserve">DOM + Bhashini</t>
  </si>
  <si>
    <t xml:space="preserve">Performance &amp; Core Web Vitals</t>
  </si>
  <si>
    <t xml:space="preserve">12% wt</t>
  </si>
  <si>
    <t xml:space="preserve">   Largest Contentful Paint (LCP)</t>
  </si>
  <si>
    <t xml:space="preserve">&lt;=2.5s mobile scores high</t>
  </si>
  <si>
    <t xml:space="preserve">Lighthouse</t>
  </si>
  <si>
    <t xml:space="preserve">   Interaction to Next Paint (INP)</t>
  </si>
  <si>
    <t xml:space="preserve">&lt;=200ms scores high</t>
  </si>
  <si>
    <t xml:space="preserve">web-vitals/CrUX</t>
  </si>
  <si>
    <t xml:space="preserve">   Cumulative Layout Shift (CLS)</t>
  </si>
  <si>
    <t xml:space="preserve">&lt;=0.1 scores high</t>
  </si>
  <si>
    <t xml:space="preserve">   Speed Index / FCP</t>
  </si>
  <si>
    <t xml:space="preserve">Fast first paint</t>
  </si>
  <si>
    <t xml:space="preserve">   Page weight &amp; requests</t>
  </si>
  <si>
    <t xml:space="preserve">Lean pages, few requests</t>
  </si>
  <si>
    <t xml:space="preserve">HAR analysis</t>
  </si>
  <si>
    <t xml:space="preserve">   Caching / compression / CDN</t>
  </si>
  <si>
    <t xml:space="preserve">Assets cached, compressed, edge-served</t>
  </si>
  <si>
    <t xml:space="preserve">requests headers</t>
  </si>
  <si>
    <t xml:space="preserve">   Render-blocking &amp; unused code</t>
  </si>
  <si>
    <t xml:space="preserve">Minimal blocking, little dead code</t>
  </si>
  <si>
    <t xml:space="preserve">Content quality &amp; readability</t>
  </si>
  <si>
    <t xml:space="preserve">7% wt</t>
  </si>
  <si>
    <t xml:space="preserve">   Readability / reading level</t>
  </si>
  <si>
    <t xml:space="preserve">Plain, appropriate grade level</t>
  </si>
  <si>
    <t xml:space="preserve">textstat</t>
  </si>
  <si>
    <t xml:space="preserve">   Plain-language clarity</t>
  </si>
  <si>
    <t xml:space="preserve">Genuinely understandable</t>
  </si>
  <si>
    <t xml:space="preserve">   Spelling &amp; grammar</t>
  </si>
  <si>
    <t xml:space="preserve">Error-free content</t>
  </si>
  <si>
    <t xml:space="preserve">LanguageTool</t>
  </si>
  <si>
    <t xml:space="preserve">   Link-text quality</t>
  </si>
  <si>
    <t xml:space="preserve">Descriptive, no 'click here'</t>
  </si>
  <si>
    <t xml:space="preserve">rule + LLM</t>
  </si>
  <si>
    <t xml:space="preserve">   Content freshness</t>
  </si>
  <si>
    <t xml:space="preserve">Current, no expired notices</t>
  </si>
  <si>
    <t xml:space="preserve">   Multilingual coverage &amp; quality</t>
  </si>
  <si>
    <t xml:space="preserve">Indic languages present &amp; accurate</t>
  </si>
  <si>
    <t xml:space="preserve">IndicTrans2/Bhashini</t>
  </si>
  <si>
    <t xml:space="preserve">Responsiveness &amp; Compatibility</t>
  </si>
  <si>
    <t xml:space="preserve">10% wt</t>
  </si>
  <si>
    <t xml:space="preserve">   Responsive layout integrity</t>
  </si>
  <si>
    <t xml:space="preserve">No overflow/clipping across breakpoints (360-1440px)</t>
  </si>
  <si>
    <t xml:space="preserve">Playwright multi-viewport</t>
  </si>
  <si>
    <t xml:space="preserve">   Breakpoint coverage</t>
  </si>
  <si>
    <t xml:space="preserve">Adapts at mobile / tablet / desktop widths</t>
  </si>
  <si>
    <t xml:space="preserve">Playwright + CSS media</t>
  </si>
  <si>
    <t xml:space="preserve">   Cross-browser rendering</t>
  </si>
  <si>
    <t xml:space="preserve">Consistent on Chromium / Firefox / WebKit</t>
  </si>
  <si>
    <t xml:space="preserve">Playwright 3 engines + visual diff</t>
  </si>
  <si>
    <t xml:space="preserve">   Cross-device-size rendering</t>
  </si>
  <si>
    <t xml:space="preserve">Correct across device matrix + real DPR</t>
  </si>
  <si>
    <t xml:space="preserve">Playwright device profiles + SSIM</t>
  </si>
  <si>
    <t xml:space="preserve">   Orientation handling</t>
  </si>
  <si>
    <t xml:space="preserve">Portrait &amp; landscape both usable</t>
  </si>
  <si>
    <t xml:space="preserve">Playwright rotate</t>
  </si>
  <si>
    <t xml:space="preserve">   Tap-target size &amp; spacing</t>
  </si>
  <si>
    <t xml:space="preserve">Thumb-friendly targets &gt;= 24px</t>
  </si>
  <si>
    <t xml:space="preserve">   Mobile performance (throttled)</t>
  </si>
  <si>
    <t xml:space="preserve">Good CWV on 3G/4G profile</t>
  </si>
  <si>
    <t xml:space="preserve">Lighthouse throttled</t>
  </si>
  <si>
    <t xml:space="preserve">Trust, security &amp; privacy</t>
  </si>
  <si>
    <t xml:space="preserve">6% wt</t>
  </si>
  <si>
    <t xml:space="preserve">   HTTPS enforced &amp; valid TLS</t>
  </si>
  <si>
    <t xml:space="preserve">http-&gt;https, valid cert</t>
  </si>
  <si>
    <t xml:space="preserve">requests/sslyze</t>
  </si>
  <si>
    <t xml:space="preserve">   Security headers</t>
  </si>
  <si>
    <t xml:space="preserve">CSP, HSTS, X-Frame, etc.</t>
  </si>
  <si>
    <t xml:space="preserve">testssl.sh</t>
  </si>
  <si>
    <t xml:space="preserve">   No mixed content</t>
  </si>
  <si>
    <t xml:space="preserve">No http assets on https</t>
  </si>
  <si>
    <t xml:space="preserve">DOM scan</t>
  </si>
  <si>
    <t xml:space="preserve">   Cookie flags &amp; privacy</t>
  </si>
  <si>
    <t xml:space="preserve">Secure/HttpOnly/SameSite set</t>
  </si>
  <si>
    <t xml:space="preserve">requests</t>
  </si>
  <si>
    <t xml:space="preserve">   No vulnerable libraries</t>
  </si>
  <si>
    <t xml:space="preserve">No known-CVE JS libs</t>
  </si>
  <si>
    <t xml:space="preserve">retire.js</t>
  </si>
  <si>
    <t xml:space="preserve">   Privacy policy &amp; consent clarity</t>
  </si>
  <si>
    <t xml:space="preserve">Clear, lawful data handling</t>
  </si>
  <si>
    <t xml:space="preserve">Phase-1 ML / Computer-Vision Plan — classical models only, no LLM</t>
  </si>
  <si>
    <t xml:space="preserve">These 8 components use classical machine learning and computer vision (NO large language models). They are self-hosted, explainable, run on modest CPU/GPU, and need no external API — so they fit government data-residency rules.</t>
  </si>
  <si>
    <t xml:space="preserve">Purpose: upgrade the parameters currently marked 'Partial / Manual' in the Scoring Model into automatable, ML-scored checks. This lifts automatable coverage from ~68% (rules only) to ~85% — with no LLM.</t>
  </si>
  <si>
    <t xml:space="preserve">How they plug in: each model outputs a 0–100 sub-score that feeds the same 'Measured' column of the Scoring Model, with low-confidence cases routed to human spot-check.</t>
  </si>
  <si>
    <t xml:space="preserve">ID</t>
  </si>
  <si>
    <t xml:space="preserve">ML component</t>
  </si>
  <si>
    <t xml:space="preserve">Model type</t>
  </si>
  <si>
    <t xml:space="preserve">Inputs / features</t>
  </si>
  <si>
    <t xml:space="preserve">Output</t>
  </si>
  <si>
    <t xml:space="preserve">Parameters it upgrades</t>
  </si>
  <si>
    <t xml:space="preserve">Library (open-source)</t>
  </si>
  <si>
    <t xml:space="preserve">Training data</t>
  </si>
  <si>
    <t xml:space="preserve">CPU/GPU</t>
  </si>
  <si>
    <t xml:space="preserve">M1</t>
  </si>
  <si>
    <t xml:space="preserve">Priority &amp; impact ranking</t>
  </si>
  <si>
    <t xml:space="preserve">Gradient-boosted trees (XGBoost/LightGBM)</t>
  </si>
  <si>
    <t xml:space="preserve">severity, guideline, page traffic, #affected elements, effort est., past-fix outcomes</t>
  </si>
  <si>
    <t xml:space="preserve">ranked impact x effort per finding</t>
  </si>
  <si>
    <t xml:space="preserve">All categories — report prioritisation</t>
  </si>
  <si>
    <t xml:space="preserve">XGBoost / scikit-learn</t>
  </si>
  <si>
    <t xml:space="preserve">labelled past audits + remediation outcomes</t>
  </si>
  <si>
    <t xml:space="preserve">CPU</t>
  </si>
  <si>
    <t xml:space="preserve">M2</t>
  </si>
  <si>
    <t xml:space="preserve">Decorative vs informative image classifier</t>
  </si>
  <si>
    <t xml:space="preserve">CNN transfer learning (MobileNetV3 / ResNet50)</t>
  </si>
  <si>
    <t xml:space="preserve">image crops from pages</t>
  </si>
  <si>
    <t xml:space="preserve">decorative / informative + confidence</t>
  </si>
  <si>
    <t xml:space="preserve">Accessibility — alt-text triage (A02)</t>
  </si>
  <si>
    <t xml:space="preserve">PyTorch + timm</t>
  </si>
  <si>
    <t xml:space="preserve">labelled gov-site images</t>
  </si>
  <si>
    <t xml:space="preserve">GPU (light)</t>
  </si>
  <si>
    <t xml:space="preserve">M3</t>
  </si>
  <si>
    <t xml:space="preserve">Visual layout &amp; hierarchy analyzer</t>
  </si>
  <si>
    <t xml:space="preserve">Object/element detection + CV heuristics</t>
  </si>
  <si>
    <t xml:space="preserve">full-page screenshots</t>
  </si>
  <si>
    <t xml:space="preserve">element map, whitespace ratio, alignment &amp; saliency-based hierarchy score</t>
  </si>
  <si>
    <t xml:space="preserve">Design — layout, visual hierarchy, clutter</t>
  </si>
  <si>
    <t xml:space="preserve">Detectron2 / YOLOv8 + OpenCV / scikit-image</t>
  </si>
  <si>
    <t xml:space="preserve">pretrained detector; optional UI fine-tune</t>
  </si>
  <si>
    <t xml:space="preserve">M4</t>
  </si>
  <si>
    <t xml:space="preserve">Colour &amp; typography consistency</t>
  </si>
  <si>
    <t xml:space="preserve">k-means clustering + CSS parsing</t>
  </si>
  <si>
    <t xml:space="preserve">screenshots + computed styles</t>
  </si>
  <si>
    <t xml:space="preserve">palette size, off-palette %, type-scale consistency, contrast map</t>
  </si>
  <si>
    <t xml:space="preserve">Design — colour system, typography</t>
  </si>
  <si>
    <t xml:space="preserve">scikit-learn, tinycss2, OpenCV</t>
  </si>
  <si>
    <t xml:space="preserve">unsupervised + design-system reference</t>
  </si>
  <si>
    <t xml:space="preserve">M5</t>
  </si>
  <si>
    <t xml:space="preserve">Cross-page consistency</t>
  </si>
  <si>
    <t xml:space="preserve">Structural hashing + SSIM</t>
  </si>
  <si>
    <t xml:space="preserve">DOM trees + screenshots across pages</t>
  </si>
  <si>
    <t xml:space="preserve">consistency score, outlier pages</t>
  </si>
  <si>
    <t xml:space="preserve">Design &amp; UX — consistency</t>
  </si>
  <si>
    <t xml:space="preserve">scikit-image (SSIM), datasketch/simhash</t>
  </si>
  <si>
    <t xml:space="preserve">none (unsupervised)</t>
  </si>
  <si>
    <t xml:space="preserve">M6</t>
  </si>
  <si>
    <t xml:space="preserve">Plain-language / jargon classifier</t>
  </si>
  <si>
    <t xml:space="preserve">TF-IDF + linear SVM / logistic reg. (classical NLP)</t>
  </si>
  <si>
    <t xml:space="preserve">page text</t>
  </si>
  <si>
    <t xml:space="preserve">plain-language score, flagged jargon sentences</t>
  </si>
  <si>
    <t xml:space="preserve">Content clarity; UX plain labels</t>
  </si>
  <si>
    <t xml:space="preserve">scikit-learn, spaCy, textstat</t>
  </si>
  <si>
    <t xml:space="preserve">labelled plain vs complex gov text</t>
  </si>
  <si>
    <t xml:space="preserve">M7</t>
  </si>
  <si>
    <t xml:space="preserve">Language &amp; script detection</t>
  </si>
  <si>
    <t xml:space="preserve">fastText / CLD3 classifier</t>
  </si>
  <si>
    <t xml:space="preserve">language(s), script, coverage vs required Indic set</t>
  </si>
  <si>
    <t xml:space="preserve">GIGW &amp; Content — multilingual</t>
  </si>
  <si>
    <t xml:space="preserve">fastText, AI4Bharat Indic NLP</t>
  </si>
  <si>
    <t xml:space="preserve">pretrained</t>
  </si>
  <si>
    <t xml:space="preserve">M8</t>
  </si>
  <si>
    <t xml:space="preserve">Score regression &amp; anomaly detection</t>
  </si>
  <si>
    <t xml:space="preserve">Isolation Forest / time-series change detection</t>
  </si>
  <si>
    <t xml:space="preserve">historical category &amp; overall scores per domain</t>
  </si>
  <si>
    <t xml:space="preserve">regression alerts, anomaly flags</t>
  </si>
  <si>
    <t xml:space="preserve">National dashboard alerts; re-audit trends</t>
  </si>
  <si>
    <t xml:space="preserve">scikit-learn (IsolationForest), statsmodels/Prophet</t>
  </si>
  <si>
    <t xml:space="preserve">historical audit scores</t>
  </si>
  <si>
    <t xml:space="preserve">Sequencing within Phase 1</t>
  </si>
  <si>
    <t xml:space="preserve">  Sprint 1 (quick wins, low data need)</t>
  </si>
  <si>
    <t xml:space="preserve">M7 Language detection · M8 Regression/anomaly · M1 Priority ranking — pretrained or small models; immediate value on reports &amp; dashboard.</t>
  </si>
  <si>
    <t xml:space="preserve">  Sprint 2 (needs labelling)</t>
  </si>
  <si>
    <t xml:space="preserve">M2 Decorative-image classifier · M6 Plain-language classifier — build a labelled dataset from gov sites first.</t>
  </si>
  <si>
    <t xml:space="preserve">  Sprint 3 (computer vision)</t>
  </si>
  <si>
    <t xml:space="preserve">M3 Layout &amp; hierarchy · M4 Colour/typography · M5 Cross-page consistency — screenshot pipeline + light GPU.</t>
  </si>
  <si>
    <t xml:space="preserve">Outcome of Phase-1 ML: rules-only automation (~68%) + these classical models raises automatable coverage to ~85% with NO LLM. The remaining ~15% (true reading-order sense, nuanced clarity, screen-reader journeys) stays with human review until/unless an LLM layer is added in a later phase. Every model outputs an explainable sub-score with a confidence; low-confidence results are auto-routed to a human, preserving the reproducible, auditable scoring required by the platform.</t>
  </si>
  <si>
    <t xml:space="preserve">GovUX Score — computed from the model</t>
  </si>
  <si>
    <t xml:space="preserve">Category</t>
  </si>
  <si>
    <t xml:space="preserve">Category weight %</t>
  </si>
  <si>
    <t xml:space="preserve">Category score (0-100)</t>
  </si>
  <si>
    <t xml:space="preserve">Contribution to overall</t>
  </si>
  <si>
    <t xml:space="preserve">OVERALL GovUX SCORE</t>
  </si>
  <si>
    <t xml:space="preserve">Band</t>
  </si>
  <si>
    <t xml:space="preserve">Guard-rail</t>
  </si>
  <si>
    <t xml:space="preserve">This score is fully traceable: change any 'Measured' value in the Scoring Model sheet and the category scores, overall score and band recompute here. Weights are configurable and version-controlled.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</si>
</sst>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D6B"/>
      <name val="Arial"/>
      <family val="0"/>
      <charset val="1"/>
    </font>
    <font>
      <b val="true"/>
      <sz val="11"/>
      <color rgb="FF1F6FB2"/>
      <name val="Arial"/>
      <family val="0"/>
      <charset val="1"/>
    </font>
    <font>
      <b val="true"/>
      <sz val="12"/>
      <color rgb="FF0B3D6B"/>
      <name val="Arial"/>
      <family val="0"/>
      <charset val="1"/>
    </font>
    <font>
      <sz val="10"/>
      <color rgb="FF16232E"/>
      <name val="Arial"/>
      <family val="0"/>
      <charset val="1"/>
    </font>
    <font>
      <b val="true"/>
      <sz val="10"/>
      <color rgb="FF1623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.5"/>
      <color rgb="FF16232E"/>
      <name val="Arial"/>
      <family val="0"/>
      <charset val="1"/>
    </font>
    <font>
      <sz val="9"/>
      <color rgb="FF5A6B7B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color rgb="FF16232E"/>
      <name val="Arial"/>
      <family val="0"/>
      <charset val="1"/>
    </font>
    <font>
      <b val="true"/>
      <sz val="9"/>
      <color rgb="FF16232E"/>
      <name val="Arial"/>
      <family val="0"/>
      <charset val="1"/>
    </font>
    <font>
      <b val="true"/>
      <sz val="9.5"/>
      <color rgb="FF0B3D6B"/>
      <name val="Arial"/>
      <family val="0"/>
      <charset val="1"/>
    </font>
    <font>
      <b val="true"/>
      <sz val="9"/>
      <color rgb="FF0B3D6B"/>
      <name val="Arial"/>
      <family val="0"/>
      <charset val="1"/>
    </font>
    <font>
      <b val="true"/>
      <sz val="11"/>
      <color rgb="FF0B3D6B"/>
      <name val="Arial"/>
      <family val="0"/>
      <charset val="1"/>
    </font>
    <font>
      <b val="true"/>
      <sz val="15"/>
      <color rgb="FF0B3D6B"/>
      <name val="Arial"/>
      <family val="0"/>
      <charset val="1"/>
    </font>
    <font>
      <b val="true"/>
      <sz val="10"/>
      <color rgb="FF0B3D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8A5410"/>
      <name val="Arial"/>
      <family val="0"/>
      <charset val="1"/>
    </font>
    <font>
      <i val="true"/>
      <sz val="9"/>
      <color rgb="FF5A6B7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3D6B"/>
        <bgColor rgb="FF1F4E79"/>
      </patternFill>
    </fill>
    <fill>
      <patternFill patternType="solid">
        <fgColor rgb="FF1F6FB2"/>
        <bgColor rgb="FF008080"/>
      </patternFill>
    </fill>
    <fill>
      <patternFill patternType="solid">
        <fgColor rgb="FFF4F8FB"/>
        <bgColor rgb="FFFFFFFF"/>
      </patternFill>
    </fill>
    <fill>
      <patternFill patternType="solid">
        <fgColor rgb="FFFFF6D8"/>
        <bgColor rgb="FFFBF3DA"/>
      </patternFill>
    </fill>
    <fill>
      <patternFill patternType="solid">
        <fgColor rgb="FFE6F4EC"/>
        <bgColor rgb="FFE8F1F8"/>
      </patternFill>
    </fill>
    <fill>
      <patternFill patternType="solid">
        <fgColor rgb="FFFFFFFF"/>
        <bgColor rgb="FFF4F8FB"/>
      </patternFill>
    </fill>
    <fill>
      <patternFill patternType="solid">
        <fgColor rgb="FFFBF3DA"/>
        <bgColor rgb="FFFFF6D8"/>
      </patternFill>
    </fill>
    <fill>
      <patternFill patternType="solid">
        <fgColor rgb="FFFDECEB"/>
        <bgColor rgb="FFFBF3DA"/>
      </patternFill>
    </fill>
    <fill>
      <patternFill patternType="solid">
        <fgColor rgb="FFE8F1F8"/>
        <bgColor rgb="FFE6F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E7"/>
      </left>
      <right style="thin">
        <color rgb="FFD5DEE7"/>
      </right>
      <top style="thin">
        <color rgb="FFD5DEE7"/>
      </top>
      <bottom style="thin">
        <color rgb="FFD5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8"/>
      <rgbColor rgb="FFE6F4EC"/>
      <rgbColor rgb="FF660066"/>
      <rgbColor rgb="FFFF8080"/>
      <rgbColor rgb="FF1F6FB2"/>
      <rgbColor rgb="FFD5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F8"/>
      <rgbColor rgb="FFF4F8FB"/>
      <rgbColor rgb="FFFBF3DA"/>
      <rgbColor rgb="FF99CCFF"/>
      <rgbColor rgb="FFFF99CC"/>
      <rgbColor rgb="FFCC99FF"/>
      <rgbColor rgb="FFFDECEB"/>
      <rgbColor rgb="FF3366FF"/>
      <rgbColor rgb="FF33CCCC"/>
      <rgbColor rgb="FF99CC00"/>
      <rgbColor rgb="FFFFCC00"/>
      <rgbColor rgb="FFFF9900"/>
      <rgbColor rgb="FFFF6600"/>
      <rgbColor rgb="FF5A6B7B"/>
      <rgbColor rgb="FF969696"/>
      <rgbColor rgb="FF0B3D6B"/>
      <rgbColor rgb="FF339966"/>
      <rgbColor rgb="FF003300"/>
      <rgbColor rgb="FF333300"/>
      <rgbColor rgb="FF8A5410"/>
      <rgbColor rgb="FF993366"/>
      <rgbColor rgb="FF1F4E79"/>
      <rgbColor rgb="FF1623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6"/>
  </cols>
  <sheetData>
    <row r="1" customFormat="false" ht="25.5" hidden="false" customHeight="true" outlineLevel="0" collapsed="false">
      <c r="B1" s="1" t="s">
        <v>0</v>
      </c>
    </row>
    <row r="2" customFormat="false" ht="31.5" hidden="false" customHeight="true" outlineLevel="0" collapsed="false">
      <c r="B2" s="2" t="s">
        <v>1</v>
      </c>
    </row>
    <row r="4" customFormat="false" ht="19.5" hidden="false" customHeight="true" outlineLevel="0" collapsed="false">
      <c r="B4" s="3" t="s">
        <v>2</v>
      </c>
    </row>
    <row r="5" customFormat="false" ht="15.75" hidden="false" customHeight="true" outlineLevel="0" collapsed="false">
      <c r="B5" s="4" t="s">
        <v>3</v>
      </c>
    </row>
    <row r="6" customFormat="false" ht="15.75" hidden="false" customHeight="true" outlineLevel="0" collapsed="false">
      <c r="B6" s="4" t="s">
        <v>4</v>
      </c>
    </row>
    <row r="7" customFormat="false" ht="30" hidden="false" customHeight="true" outlineLevel="0" collapsed="false">
      <c r="B7" s="4" t="s">
        <v>5</v>
      </c>
    </row>
    <row r="8" customFormat="false" ht="15.75" hidden="false" customHeight="true" outlineLevel="0" collapsed="false">
      <c r="B8" s="4" t="s">
        <v>6</v>
      </c>
    </row>
    <row r="9" customFormat="false" ht="30" hidden="false" customHeight="true" outlineLevel="0" collapsed="false">
      <c r="B9" s="5" t="s">
        <v>7</v>
      </c>
    </row>
    <row r="11" customFormat="false" ht="19.5" hidden="false" customHeight="true" outlineLevel="0" collapsed="false">
      <c r="B11" s="3" t="s">
        <v>8</v>
      </c>
    </row>
    <row r="12" customFormat="false" ht="15.75" hidden="false" customHeight="true" outlineLevel="0" collapsed="false">
      <c r="B12" s="4" t="s">
        <v>9</v>
      </c>
    </row>
    <row r="13" customFormat="false" ht="15.75" hidden="false" customHeight="true" outlineLevel="0" collapsed="false">
      <c r="B13" s="4" t="s">
        <v>10</v>
      </c>
    </row>
    <row r="14" customFormat="false" ht="30" hidden="false" customHeight="true" outlineLevel="0" collapsed="false">
      <c r="B14" s="4" t="s">
        <v>11</v>
      </c>
    </row>
    <row r="15" customFormat="false" ht="15.75" hidden="false" customHeight="true" outlineLevel="0" collapsed="false">
      <c r="B15" s="4" t="s">
        <v>12</v>
      </c>
    </row>
    <row r="17" customFormat="false" ht="19.5" hidden="false" customHeight="true" outlineLevel="0" collapsed="false">
      <c r="B17" s="3" t="s">
        <v>13</v>
      </c>
    </row>
    <row r="18" customFormat="false" ht="43.5" hidden="false" customHeight="true" outlineLevel="0" collapsed="false">
      <c r="B18" s="4" t="s">
        <v>14</v>
      </c>
    </row>
    <row r="20" customFormat="false" ht="19.5" hidden="false" customHeight="true" outlineLevel="0" collapsed="false">
      <c r="B20" s="3" t="s">
        <v>15</v>
      </c>
    </row>
    <row r="21" customFormat="false" ht="43.5" hidden="false" customHeight="true" outlineLevel="0" collapsed="false">
      <c r="B21" s="4" t="s">
        <v>16</v>
      </c>
    </row>
    <row r="22" customFormat="false" ht="15.75" hidden="false" customHeight="true" outlineLevel="0" collapsed="false">
      <c r="B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8"/>
  </cols>
  <sheetData>
    <row r="1" customFormat="false" ht="25.5" hidden="false" customHeight="tru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</row>
    <row r="2" customFormat="false" ht="19.5" hidden="false" customHeight="true" outlineLevel="0" collapsed="false">
      <c r="A2" s="7" t="s">
        <v>25</v>
      </c>
      <c r="B2" s="7"/>
      <c r="C2" s="8" t="s">
        <v>26</v>
      </c>
      <c r="D2" s="9"/>
      <c r="E2" s="9"/>
      <c r="F2" s="9"/>
      <c r="G2" s="9"/>
    </row>
    <row r="3" customFormat="false" ht="25.5" hidden="false" customHeight="true" outlineLevel="0" collapsed="false">
      <c r="A3" s="10" t="s">
        <v>27</v>
      </c>
      <c r="B3" s="11" t="s">
        <v>28</v>
      </c>
      <c r="C3" s="12" t="n">
        <v>15</v>
      </c>
      <c r="D3" s="13" t="n">
        <v>55</v>
      </c>
      <c r="E3" s="14" t="n">
        <f aca="false">C3*D3/100</f>
        <v>8.25</v>
      </c>
      <c r="F3" s="15" t="s">
        <v>29</v>
      </c>
      <c r="G3" s="16" t="s">
        <v>30</v>
      </c>
    </row>
    <row r="4" customFormat="false" ht="25.5" hidden="false" customHeight="true" outlineLevel="0" collapsed="false">
      <c r="A4" s="17" t="s">
        <v>31</v>
      </c>
      <c r="B4" s="18" t="s">
        <v>32</v>
      </c>
      <c r="C4" s="19" t="n">
        <v>12</v>
      </c>
      <c r="D4" s="13" t="n">
        <v>52</v>
      </c>
      <c r="E4" s="20" t="n">
        <f aca="false">C4*D4/100</f>
        <v>6.24</v>
      </c>
      <c r="F4" s="21" t="s">
        <v>33</v>
      </c>
      <c r="G4" s="22" t="s">
        <v>34</v>
      </c>
    </row>
    <row r="5" customFormat="false" ht="25.5" hidden="false" customHeight="true" outlineLevel="0" collapsed="false">
      <c r="A5" s="10" t="s">
        <v>35</v>
      </c>
      <c r="B5" s="11" t="s">
        <v>36</v>
      </c>
      <c r="C5" s="12" t="n">
        <v>14</v>
      </c>
      <c r="D5" s="13" t="n">
        <v>40</v>
      </c>
      <c r="E5" s="14" t="n">
        <f aca="false">C5*D5/100</f>
        <v>5.6</v>
      </c>
      <c r="F5" s="15" t="s">
        <v>37</v>
      </c>
      <c r="G5" s="22" t="s">
        <v>34</v>
      </c>
    </row>
    <row r="6" customFormat="false" ht="25.5" hidden="false" customHeight="true" outlineLevel="0" collapsed="false">
      <c r="A6" s="17" t="s">
        <v>38</v>
      </c>
      <c r="B6" s="18" t="s">
        <v>39</v>
      </c>
      <c r="C6" s="19" t="n">
        <v>10</v>
      </c>
      <c r="D6" s="13" t="n">
        <v>68</v>
      </c>
      <c r="E6" s="20" t="n">
        <f aca="false">C6*D6/100</f>
        <v>6.8</v>
      </c>
      <c r="F6" s="21" t="s">
        <v>29</v>
      </c>
      <c r="G6" s="16" t="s">
        <v>30</v>
      </c>
    </row>
    <row r="7" customFormat="false" ht="25.5" hidden="false" customHeight="true" outlineLevel="0" collapsed="false">
      <c r="A7" s="10" t="s">
        <v>40</v>
      </c>
      <c r="B7" s="11" t="s">
        <v>41</v>
      </c>
      <c r="C7" s="12" t="n">
        <v>8</v>
      </c>
      <c r="D7" s="13" t="n">
        <v>72</v>
      </c>
      <c r="E7" s="14" t="n">
        <f aca="false">C7*D7/100</f>
        <v>5.76</v>
      </c>
      <c r="F7" s="15" t="s">
        <v>29</v>
      </c>
      <c r="G7" s="16" t="s">
        <v>30</v>
      </c>
    </row>
    <row r="8" customFormat="false" ht="25.5" hidden="false" customHeight="true" outlineLevel="0" collapsed="false">
      <c r="A8" s="17" t="s">
        <v>42</v>
      </c>
      <c r="B8" s="18" t="s">
        <v>43</v>
      </c>
      <c r="C8" s="19" t="n">
        <v>8</v>
      </c>
      <c r="D8" s="13" t="n">
        <v>70</v>
      </c>
      <c r="E8" s="20" t="n">
        <f aca="false">C8*D8/100</f>
        <v>5.6</v>
      </c>
      <c r="F8" s="21" t="s">
        <v>29</v>
      </c>
      <c r="G8" s="16" t="s">
        <v>30</v>
      </c>
    </row>
    <row r="9" customFormat="false" ht="25.5" hidden="false" customHeight="true" outlineLevel="0" collapsed="false">
      <c r="A9" s="10" t="s">
        <v>44</v>
      </c>
      <c r="B9" s="11" t="s">
        <v>45</v>
      </c>
      <c r="C9" s="12" t="n">
        <v>8</v>
      </c>
      <c r="D9" s="13" t="n">
        <v>58</v>
      </c>
      <c r="E9" s="14" t="n">
        <f aca="false">C9*D9/100</f>
        <v>4.64</v>
      </c>
      <c r="F9" s="15" t="s">
        <v>37</v>
      </c>
      <c r="G9" s="22" t="s">
        <v>34</v>
      </c>
    </row>
    <row r="10" customFormat="false" ht="25.5" hidden="false" customHeight="true" outlineLevel="0" collapsed="false">
      <c r="A10" s="17" t="s">
        <v>46</v>
      </c>
      <c r="B10" s="18" t="s">
        <v>47</v>
      </c>
      <c r="C10" s="19" t="n">
        <v>6</v>
      </c>
      <c r="D10" s="13" t="n">
        <v>64</v>
      </c>
      <c r="E10" s="20" t="n">
        <f aca="false">C10*D10/100</f>
        <v>3.84</v>
      </c>
      <c r="F10" s="21" t="s">
        <v>48</v>
      </c>
      <c r="G10" s="22" t="s">
        <v>34</v>
      </c>
    </row>
    <row r="11" customFormat="false" ht="25.5" hidden="false" customHeight="true" outlineLevel="0" collapsed="false">
      <c r="A11" s="10" t="s">
        <v>49</v>
      </c>
      <c r="B11" s="11" t="s">
        <v>50</v>
      </c>
      <c r="C11" s="12" t="n">
        <v>5</v>
      </c>
      <c r="D11" s="13" t="n">
        <v>50</v>
      </c>
      <c r="E11" s="14" t="n">
        <f aca="false">C11*D11/100</f>
        <v>2.5</v>
      </c>
      <c r="F11" s="15" t="s">
        <v>51</v>
      </c>
      <c r="G11" s="22" t="s">
        <v>34</v>
      </c>
    </row>
    <row r="12" customFormat="false" ht="25.5" hidden="false" customHeight="true" outlineLevel="0" collapsed="false">
      <c r="A12" s="17" t="s">
        <v>52</v>
      </c>
      <c r="B12" s="18" t="s">
        <v>53</v>
      </c>
      <c r="C12" s="19" t="n">
        <v>4</v>
      </c>
      <c r="D12" s="13" t="n">
        <v>80</v>
      </c>
      <c r="E12" s="20" t="n">
        <f aca="false">C12*D12/100</f>
        <v>3.2</v>
      </c>
      <c r="F12" s="21" t="s">
        <v>29</v>
      </c>
      <c r="G12" s="16" t="s">
        <v>30</v>
      </c>
    </row>
    <row r="13" customFormat="false" ht="25.5" hidden="false" customHeight="true" outlineLevel="0" collapsed="false">
      <c r="A13" s="10" t="s">
        <v>54</v>
      </c>
      <c r="B13" s="11" t="s">
        <v>55</v>
      </c>
      <c r="C13" s="12" t="n">
        <v>5</v>
      </c>
      <c r="D13" s="13" t="n">
        <v>60</v>
      </c>
      <c r="E13" s="14" t="n">
        <f aca="false">C13*D13/100</f>
        <v>3</v>
      </c>
      <c r="F13" s="15" t="s">
        <v>56</v>
      </c>
      <c r="G13" s="23" t="s">
        <v>57</v>
      </c>
    </row>
    <row r="14" customFormat="false" ht="25.5" hidden="false" customHeight="true" outlineLevel="0" collapsed="false">
      <c r="A14" s="17" t="s">
        <v>58</v>
      </c>
      <c r="B14" s="18" t="s">
        <v>59</v>
      </c>
      <c r="C14" s="19" t="n">
        <v>5</v>
      </c>
      <c r="D14" s="13" t="n">
        <v>48</v>
      </c>
      <c r="E14" s="20" t="n">
        <f aca="false">C14*D14/100</f>
        <v>2.4</v>
      </c>
      <c r="F14" s="21" t="s">
        <v>60</v>
      </c>
      <c r="G14" s="23" t="s">
        <v>57</v>
      </c>
    </row>
    <row r="15" customFormat="false" ht="19.5" hidden="false" customHeight="true" outlineLevel="0" collapsed="false">
      <c r="A15" s="24" t="s">
        <v>61</v>
      </c>
      <c r="B15" s="25" t="s">
        <v>62</v>
      </c>
      <c r="C15" s="26" t="n">
        <f aca="false">SUM(C3:C14)</f>
        <v>100</v>
      </c>
      <c r="D15" s="27" t="n">
        <f aca="false">SUMPRODUCT(C3:C14,D3:D14)/SUM(C3:C14)</f>
        <v>57.83</v>
      </c>
      <c r="E15" s="24"/>
      <c r="F15" s="25"/>
      <c r="G15" s="25"/>
    </row>
    <row r="17" customFormat="false" ht="19.5" hidden="false" customHeight="true" outlineLevel="0" collapsed="false">
      <c r="A17" s="7" t="s">
        <v>63</v>
      </c>
      <c r="B17" s="7"/>
      <c r="C17" s="8" t="s">
        <v>64</v>
      </c>
      <c r="D17" s="9"/>
      <c r="E17" s="9"/>
      <c r="F17" s="9"/>
      <c r="G17" s="9"/>
    </row>
    <row r="18" customFormat="false" ht="25.5" hidden="false" customHeight="true" outlineLevel="0" collapsed="false">
      <c r="A18" s="17" t="s">
        <v>65</v>
      </c>
      <c r="B18" s="18" t="s">
        <v>66</v>
      </c>
      <c r="C18" s="19" t="n">
        <v>16</v>
      </c>
      <c r="D18" s="13" t="n">
        <v>66</v>
      </c>
      <c r="E18" s="20" t="n">
        <f aca="false">C18*D18/100</f>
        <v>10.56</v>
      </c>
      <c r="F18" s="21" t="s">
        <v>67</v>
      </c>
      <c r="G18" s="22" t="s">
        <v>34</v>
      </c>
    </row>
    <row r="19" customFormat="false" ht="25.5" hidden="false" customHeight="true" outlineLevel="0" collapsed="false">
      <c r="A19" s="10" t="s">
        <v>68</v>
      </c>
      <c r="B19" s="11" t="s">
        <v>69</v>
      </c>
      <c r="C19" s="12" t="n">
        <v>10</v>
      </c>
      <c r="D19" s="13" t="n">
        <v>62</v>
      </c>
      <c r="E19" s="14" t="n">
        <f aca="false">C19*D19/100</f>
        <v>6.2</v>
      </c>
      <c r="F19" s="15" t="s">
        <v>56</v>
      </c>
      <c r="G19" s="23" t="s">
        <v>57</v>
      </c>
    </row>
    <row r="20" customFormat="false" ht="25.5" hidden="false" customHeight="true" outlineLevel="0" collapsed="false">
      <c r="A20" s="17" t="s">
        <v>70</v>
      </c>
      <c r="B20" s="18" t="s">
        <v>71</v>
      </c>
      <c r="C20" s="19" t="n">
        <v>10</v>
      </c>
      <c r="D20" s="13" t="n">
        <v>58</v>
      </c>
      <c r="E20" s="20" t="n">
        <f aca="false">C20*D20/100</f>
        <v>5.8</v>
      </c>
      <c r="F20" s="21" t="s">
        <v>72</v>
      </c>
      <c r="G20" s="22" t="s">
        <v>34</v>
      </c>
    </row>
    <row r="21" customFormat="false" ht="25.5" hidden="false" customHeight="true" outlineLevel="0" collapsed="false">
      <c r="A21" s="10" t="s">
        <v>73</v>
      </c>
      <c r="B21" s="11" t="s">
        <v>74</v>
      </c>
      <c r="C21" s="12" t="n">
        <v>8</v>
      </c>
      <c r="D21" s="13" t="n">
        <v>70</v>
      </c>
      <c r="E21" s="14" t="n">
        <f aca="false">C21*D21/100</f>
        <v>5.6</v>
      </c>
      <c r="F21" s="15" t="s">
        <v>56</v>
      </c>
      <c r="G21" s="23" t="s">
        <v>57</v>
      </c>
    </row>
    <row r="22" customFormat="false" ht="25.5" hidden="false" customHeight="true" outlineLevel="0" collapsed="false">
      <c r="A22" s="17" t="s">
        <v>75</v>
      </c>
      <c r="B22" s="18" t="s">
        <v>76</v>
      </c>
      <c r="C22" s="19" t="n">
        <v>10</v>
      </c>
      <c r="D22" s="13" t="n">
        <v>72</v>
      </c>
      <c r="E22" s="20" t="n">
        <f aca="false">C22*D22/100</f>
        <v>7.2</v>
      </c>
      <c r="F22" s="21" t="s">
        <v>77</v>
      </c>
      <c r="G22" s="22" t="s">
        <v>34</v>
      </c>
    </row>
    <row r="23" customFormat="false" ht="25.5" hidden="false" customHeight="true" outlineLevel="0" collapsed="false">
      <c r="A23" s="10" t="s">
        <v>78</v>
      </c>
      <c r="B23" s="11" t="s">
        <v>79</v>
      </c>
      <c r="C23" s="12" t="n">
        <v>8</v>
      </c>
      <c r="D23" s="13" t="n">
        <v>60</v>
      </c>
      <c r="E23" s="14" t="n">
        <f aca="false">C23*D23/100</f>
        <v>4.8</v>
      </c>
      <c r="F23" s="15" t="s">
        <v>56</v>
      </c>
      <c r="G23" s="23" t="s">
        <v>57</v>
      </c>
    </row>
    <row r="24" customFormat="false" ht="25.5" hidden="false" customHeight="true" outlineLevel="0" collapsed="false">
      <c r="A24" s="17" t="s">
        <v>80</v>
      </c>
      <c r="B24" s="18" t="s">
        <v>81</v>
      </c>
      <c r="C24" s="19" t="n">
        <v>7</v>
      </c>
      <c r="D24" s="13" t="n">
        <v>66</v>
      </c>
      <c r="E24" s="20" t="n">
        <f aca="false">C24*D24/100</f>
        <v>4.62</v>
      </c>
      <c r="F24" s="21" t="s">
        <v>56</v>
      </c>
      <c r="G24" s="23" t="s">
        <v>57</v>
      </c>
    </row>
    <row r="25" customFormat="false" ht="25.5" hidden="false" customHeight="true" outlineLevel="0" collapsed="false">
      <c r="A25" s="10" t="s">
        <v>82</v>
      </c>
      <c r="B25" s="11" t="s">
        <v>83</v>
      </c>
      <c r="C25" s="12" t="n">
        <v>6</v>
      </c>
      <c r="D25" s="13" t="n">
        <v>64</v>
      </c>
      <c r="E25" s="14" t="n">
        <f aca="false">C25*D25/100</f>
        <v>3.84</v>
      </c>
      <c r="F25" s="15" t="s">
        <v>56</v>
      </c>
      <c r="G25" s="23" t="s">
        <v>57</v>
      </c>
    </row>
    <row r="26" customFormat="false" ht="25.5" hidden="false" customHeight="true" outlineLevel="0" collapsed="false">
      <c r="A26" s="17" t="s">
        <v>84</v>
      </c>
      <c r="B26" s="18" t="s">
        <v>85</v>
      </c>
      <c r="C26" s="19" t="n">
        <v>10</v>
      </c>
      <c r="D26" s="13" t="n">
        <v>55</v>
      </c>
      <c r="E26" s="20" t="n">
        <f aca="false">C26*D26/100</f>
        <v>5.5</v>
      </c>
      <c r="F26" s="21" t="s">
        <v>86</v>
      </c>
      <c r="G26" s="22" t="s">
        <v>34</v>
      </c>
    </row>
    <row r="27" customFormat="false" ht="25.5" hidden="false" customHeight="true" outlineLevel="0" collapsed="false">
      <c r="A27" s="10" t="s">
        <v>87</v>
      </c>
      <c r="B27" s="11" t="s">
        <v>88</v>
      </c>
      <c r="C27" s="12" t="n">
        <v>10</v>
      </c>
      <c r="D27" s="13" t="n">
        <v>68</v>
      </c>
      <c r="E27" s="14" t="n">
        <f aca="false">C27*D27/100</f>
        <v>6.8</v>
      </c>
      <c r="F27" s="15" t="s">
        <v>89</v>
      </c>
      <c r="G27" s="22" t="s">
        <v>34</v>
      </c>
    </row>
    <row r="28" customFormat="false" ht="25.5" hidden="false" customHeight="true" outlineLevel="0" collapsed="false">
      <c r="A28" s="17" t="s">
        <v>90</v>
      </c>
      <c r="B28" s="18" t="s">
        <v>91</v>
      </c>
      <c r="C28" s="19" t="n">
        <v>5</v>
      </c>
      <c r="D28" s="13" t="n">
        <v>72</v>
      </c>
      <c r="E28" s="20" t="n">
        <f aca="false">C28*D28/100</f>
        <v>3.6</v>
      </c>
      <c r="F28" s="21" t="s">
        <v>51</v>
      </c>
      <c r="G28" s="22" t="s">
        <v>34</v>
      </c>
    </row>
    <row r="29" customFormat="false" ht="19.5" hidden="false" customHeight="true" outlineLevel="0" collapsed="false">
      <c r="A29" s="24" t="s">
        <v>61</v>
      </c>
      <c r="B29" s="25" t="s">
        <v>62</v>
      </c>
      <c r="C29" s="26" t="n">
        <f aca="false">SUM(C18:C28)</f>
        <v>100</v>
      </c>
      <c r="D29" s="27" t="n">
        <f aca="false">SUMPRODUCT(C18:C28,D18:D28)/SUM(C18:C28)</f>
        <v>64.52</v>
      </c>
      <c r="E29" s="24"/>
      <c r="F29" s="25"/>
      <c r="G29" s="25"/>
    </row>
    <row r="31" customFormat="false" ht="19.5" hidden="false" customHeight="true" outlineLevel="0" collapsed="false">
      <c r="A31" s="7" t="s">
        <v>92</v>
      </c>
      <c r="B31" s="7"/>
      <c r="C31" s="8" t="s">
        <v>93</v>
      </c>
      <c r="D31" s="9"/>
      <c r="E31" s="9"/>
      <c r="F31" s="9"/>
      <c r="G31" s="9"/>
    </row>
    <row r="32" customFormat="false" ht="25.5" hidden="false" customHeight="true" outlineLevel="0" collapsed="false">
      <c r="A32" s="17" t="s">
        <v>94</v>
      </c>
      <c r="B32" s="18" t="s">
        <v>95</v>
      </c>
      <c r="C32" s="19" t="n">
        <v>18</v>
      </c>
      <c r="D32" s="13" t="n">
        <v>74</v>
      </c>
      <c r="E32" s="20" t="n">
        <f aca="false">C32*D32/100</f>
        <v>13.32</v>
      </c>
      <c r="F32" s="21" t="s">
        <v>96</v>
      </c>
      <c r="G32" s="22" t="s">
        <v>34</v>
      </c>
    </row>
    <row r="33" customFormat="false" ht="25.5" hidden="false" customHeight="true" outlineLevel="0" collapsed="false">
      <c r="A33" s="10" t="s">
        <v>97</v>
      </c>
      <c r="B33" s="11" t="s">
        <v>98</v>
      </c>
      <c r="C33" s="12" t="n">
        <v>16</v>
      </c>
      <c r="D33" s="13" t="n">
        <v>70</v>
      </c>
      <c r="E33" s="14" t="n">
        <f aca="false">C33*D33/100</f>
        <v>11.2</v>
      </c>
      <c r="F33" s="15" t="s">
        <v>99</v>
      </c>
      <c r="G33" s="22" t="s">
        <v>34</v>
      </c>
    </row>
    <row r="34" customFormat="false" ht="25.5" hidden="false" customHeight="true" outlineLevel="0" collapsed="false">
      <c r="A34" s="17" t="s">
        <v>100</v>
      </c>
      <c r="B34" s="18" t="s">
        <v>101</v>
      </c>
      <c r="C34" s="19" t="n">
        <v>16</v>
      </c>
      <c r="D34" s="13" t="n">
        <v>66</v>
      </c>
      <c r="E34" s="20" t="n">
        <f aca="false">C34*D34/100</f>
        <v>10.56</v>
      </c>
      <c r="F34" s="21" t="s">
        <v>102</v>
      </c>
      <c r="G34" s="22" t="s">
        <v>34</v>
      </c>
    </row>
    <row r="35" customFormat="false" ht="25.5" hidden="false" customHeight="true" outlineLevel="0" collapsed="false">
      <c r="A35" s="10" t="s">
        <v>103</v>
      </c>
      <c r="B35" s="11" t="s">
        <v>104</v>
      </c>
      <c r="C35" s="12" t="n">
        <v>14</v>
      </c>
      <c r="D35" s="13" t="n">
        <v>60</v>
      </c>
      <c r="E35" s="14" t="n">
        <f aca="false">C35*D35/100</f>
        <v>8.4</v>
      </c>
      <c r="F35" s="15" t="s">
        <v>105</v>
      </c>
      <c r="G35" s="23" t="s">
        <v>57</v>
      </c>
    </row>
    <row r="36" customFormat="false" ht="25.5" hidden="false" customHeight="true" outlineLevel="0" collapsed="false">
      <c r="A36" s="17" t="s">
        <v>106</v>
      </c>
      <c r="B36" s="18" t="s">
        <v>107</v>
      </c>
      <c r="C36" s="19" t="n">
        <v>16</v>
      </c>
      <c r="D36" s="13" t="n">
        <v>58</v>
      </c>
      <c r="E36" s="20" t="n">
        <f aca="false">C36*D36/100</f>
        <v>9.28</v>
      </c>
      <c r="F36" s="21" t="s">
        <v>108</v>
      </c>
      <c r="G36" s="22" t="s">
        <v>34</v>
      </c>
    </row>
    <row r="37" customFormat="false" ht="25.5" hidden="false" customHeight="true" outlineLevel="0" collapsed="false">
      <c r="A37" s="10" t="s">
        <v>109</v>
      </c>
      <c r="B37" s="11" t="s">
        <v>110</v>
      </c>
      <c r="C37" s="12" t="n">
        <v>10</v>
      </c>
      <c r="D37" s="13" t="n">
        <v>72</v>
      </c>
      <c r="E37" s="14" t="n">
        <f aca="false">C37*D37/100</f>
        <v>7.2</v>
      </c>
      <c r="F37" s="15" t="s">
        <v>111</v>
      </c>
      <c r="G37" s="23" t="s">
        <v>57</v>
      </c>
    </row>
    <row r="38" customFormat="false" ht="25.5" hidden="false" customHeight="true" outlineLevel="0" collapsed="false">
      <c r="A38" s="17" t="s">
        <v>112</v>
      </c>
      <c r="B38" s="18" t="s">
        <v>113</v>
      </c>
      <c r="C38" s="19" t="n">
        <v>10</v>
      </c>
      <c r="D38" s="13" t="n">
        <v>68</v>
      </c>
      <c r="E38" s="20" t="n">
        <f aca="false">C38*D38/100</f>
        <v>6.8</v>
      </c>
      <c r="F38" s="21" t="s">
        <v>114</v>
      </c>
      <c r="G38" s="22" t="s">
        <v>34</v>
      </c>
    </row>
    <row r="39" customFormat="false" ht="19.5" hidden="false" customHeight="true" outlineLevel="0" collapsed="false">
      <c r="A39" s="24" t="s">
        <v>61</v>
      </c>
      <c r="B39" s="25" t="s">
        <v>62</v>
      </c>
      <c r="C39" s="26" t="n">
        <f aca="false">SUM(C32:C38)</f>
        <v>100</v>
      </c>
      <c r="D39" s="27" t="n">
        <f aca="false">SUMPRODUCT(C32:C38,D32:D38)/SUM(C32:C38)</f>
        <v>66.76</v>
      </c>
      <c r="E39" s="24"/>
      <c r="F39" s="25"/>
      <c r="G39" s="25"/>
    </row>
    <row r="41" customFormat="false" ht="19.5" hidden="false" customHeight="true" outlineLevel="0" collapsed="false">
      <c r="A41" s="7" t="s">
        <v>115</v>
      </c>
      <c r="B41" s="7"/>
      <c r="C41" s="8" t="s">
        <v>116</v>
      </c>
      <c r="D41" s="9"/>
      <c r="E41" s="9"/>
      <c r="F41" s="9"/>
      <c r="G41" s="9"/>
    </row>
    <row r="42" customFormat="false" ht="25.5" hidden="false" customHeight="true" outlineLevel="0" collapsed="false">
      <c r="A42" s="17" t="s">
        <v>117</v>
      </c>
      <c r="B42" s="18" t="s">
        <v>118</v>
      </c>
      <c r="C42" s="19" t="n">
        <v>20</v>
      </c>
      <c r="D42" s="13" t="n">
        <v>78</v>
      </c>
      <c r="E42" s="20" t="n">
        <f aca="false">C42*D42/100</f>
        <v>15.6</v>
      </c>
      <c r="F42" s="21" t="s">
        <v>119</v>
      </c>
      <c r="G42" s="16" t="s">
        <v>30</v>
      </c>
    </row>
    <row r="43" customFormat="false" ht="25.5" hidden="false" customHeight="true" outlineLevel="0" collapsed="false">
      <c r="A43" s="10" t="s">
        <v>120</v>
      </c>
      <c r="B43" s="11" t="s">
        <v>121</v>
      </c>
      <c r="C43" s="12" t="n">
        <v>10</v>
      </c>
      <c r="D43" s="13" t="n">
        <v>64</v>
      </c>
      <c r="E43" s="14" t="n">
        <f aca="false">C43*D43/100</f>
        <v>6.4</v>
      </c>
      <c r="F43" s="15" t="s">
        <v>122</v>
      </c>
      <c r="G43" s="22" t="s">
        <v>34</v>
      </c>
    </row>
    <row r="44" customFormat="false" ht="25.5" hidden="false" customHeight="true" outlineLevel="0" collapsed="false">
      <c r="A44" s="17" t="s">
        <v>123</v>
      </c>
      <c r="B44" s="18" t="s">
        <v>124</v>
      </c>
      <c r="C44" s="19" t="n">
        <v>10</v>
      </c>
      <c r="D44" s="13" t="n">
        <v>70</v>
      </c>
      <c r="E44" s="20" t="n">
        <f aca="false">C44*D44/100</f>
        <v>7</v>
      </c>
      <c r="F44" s="21" t="s">
        <v>125</v>
      </c>
      <c r="G44" s="16" t="s">
        <v>30</v>
      </c>
    </row>
    <row r="45" customFormat="false" ht="25.5" hidden="false" customHeight="true" outlineLevel="0" collapsed="false">
      <c r="A45" s="10" t="s">
        <v>126</v>
      </c>
      <c r="B45" s="11" t="s">
        <v>127</v>
      </c>
      <c r="C45" s="12" t="n">
        <v>12</v>
      </c>
      <c r="D45" s="13" t="n">
        <v>74</v>
      </c>
      <c r="E45" s="14" t="n">
        <f aca="false">C45*D45/100</f>
        <v>8.88</v>
      </c>
      <c r="F45" s="15" t="s">
        <v>128</v>
      </c>
      <c r="G45" s="16" t="s">
        <v>30</v>
      </c>
    </row>
    <row r="46" customFormat="false" ht="25.5" hidden="false" customHeight="true" outlineLevel="0" collapsed="false">
      <c r="A46" s="17" t="s">
        <v>129</v>
      </c>
      <c r="B46" s="18" t="s">
        <v>130</v>
      </c>
      <c r="C46" s="19" t="n">
        <v>8</v>
      </c>
      <c r="D46" s="13" t="n">
        <v>82</v>
      </c>
      <c r="E46" s="20" t="n">
        <f aca="false">C46*D46/100</f>
        <v>6.56</v>
      </c>
      <c r="F46" s="21" t="s">
        <v>131</v>
      </c>
      <c r="G46" s="16" t="s">
        <v>30</v>
      </c>
    </row>
    <row r="47" customFormat="false" ht="25.5" hidden="false" customHeight="true" outlineLevel="0" collapsed="false">
      <c r="A47" s="10" t="s">
        <v>132</v>
      </c>
      <c r="B47" s="11" t="s">
        <v>133</v>
      </c>
      <c r="C47" s="12" t="n">
        <v>12</v>
      </c>
      <c r="D47" s="13" t="n">
        <v>90</v>
      </c>
      <c r="E47" s="14" t="n">
        <f aca="false">C47*D47/100</f>
        <v>10.8</v>
      </c>
      <c r="F47" s="15" t="s">
        <v>134</v>
      </c>
      <c r="G47" s="16" t="s">
        <v>30</v>
      </c>
    </row>
    <row r="48" customFormat="false" ht="25.5" hidden="false" customHeight="true" outlineLevel="0" collapsed="false">
      <c r="A48" s="17" t="s">
        <v>135</v>
      </c>
      <c r="B48" s="18" t="s">
        <v>136</v>
      </c>
      <c r="C48" s="19" t="n">
        <v>18</v>
      </c>
      <c r="D48" s="13" t="n">
        <v>66</v>
      </c>
      <c r="E48" s="20" t="n">
        <f aca="false">C48*D48/100</f>
        <v>11.88</v>
      </c>
      <c r="F48" s="21" t="s">
        <v>137</v>
      </c>
      <c r="G48" s="16" t="s">
        <v>30</v>
      </c>
    </row>
    <row r="49" customFormat="false" ht="25.5" hidden="false" customHeight="true" outlineLevel="0" collapsed="false">
      <c r="A49" s="10" t="s">
        <v>138</v>
      </c>
      <c r="B49" s="11" t="s">
        <v>139</v>
      </c>
      <c r="C49" s="12" t="n">
        <v>10</v>
      </c>
      <c r="D49" s="13" t="n">
        <v>45</v>
      </c>
      <c r="E49" s="14" t="n">
        <f aca="false">C49*D49/100</f>
        <v>4.5</v>
      </c>
      <c r="F49" s="15" t="s">
        <v>140</v>
      </c>
      <c r="G49" s="22" t="s">
        <v>34</v>
      </c>
    </row>
    <row r="50" customFormat="false" ht="19.5" hidden="false" customHeight="true" outlineLevel="0" collapsed="false">
      <c r="A50" s="24" t="s">
        <v>61</v>
      </c>
      <c r="B50" s="25" t="s">
        <v>62</v>
      </c>
      <c r="C50" s="26" t="n">
        <f aca="false">SUM(C42:C49)</f>
        <v>100</v>
      </c>
      <c r="D50" s="27" t="n">
        <f aca="false">SUMPRODUCT(C42:C49,D42:D49)/SUM(C42:C49)</f>
        <v>71.62</v>
      </c>
      <c r="E50" s="24"/>
      <c r="F50" s="25"/>
      <c r="G50" s="25"/>
    </row>
    <row r="52" customFormat="false" ht="19.5" hidden="false" customHeight="true" outlineLevel="0" collapsed="false">
      <c r="A52" s="7" t="s">
        <v>141</v>
      </c>
      <c r="B52" s="7"/>
      <c r="C52" s="8" t="s">
        <v>142</v>
      </c>
      <c r="D52" s="9"/>
      <c r="E52" s="9"/>
      <c r="F52" s="9"/>
      <c r="G52" s="9"/>
    </row>
    <row r="53" customFormat="false" ht="25.5" hidden="false" customHeight="true" outlineLevel="0" collapsed="false">
      <c r="A53" s="10" t="s">
        <v>143</v>
      </c>
      <c r="B53" s="11" t="s">
        <v>144</v>
      </c>
      <c r="C53" s="12" t="n">
        <v>22</v>
      </c>
      <c r="D53" s="13" t="n">
        <v>55</v>
      </c>
      <c r="E53" s="14" t="n">
        <f aca="false">C53*D53/100</f>
        <v>12.1</v>
      </c>
      <c r="F53" s="15" t="s">
        <v>145</v>
      </c>
      <c r="G53" s="16" t="s">
        <v>30</v>
      </c>
    </row>
    <row r="54" customFormat="false" ht="25.5" hidden="false" customHeight="true" outlineLevel="0" collapsed="false">
      <c r="A54" s="17" t="s">
        <v>146</v>
      </c>
      <c r="B54" s="18" t="s">
        <v>147</v>
      </c>
      <c r="C54" s="19" t="n">
        <v>18</v>
      </c>
      <c r="D54" s="13" t="n">
        <v>72</v>
      </c>
      <c r="E54" s="20" t="n">
        <f aca="false">C54*D54/100</f>
        <v>12.96</v>
      </c>
      <c r="F54" s="21" t="s">
        <v>148</v>
      </c>
      <c r="G54" s="16" t="s">
        <v>30</v>
      </c>
    </row>
    <row r="55" customFormat="false" ht="25.5" hidden="false" customHeight="true" outlineLevel="0" collapsed="false">
      <c r="A55" s="10" t="s">
        <v>149</v>
      </c>
      <c r="B55" s="11" t="s">
        <v>150</v>
      </c>
      <c r="C55" s="12" t="n">
        <v>15</v>
      </c>
      <c r="D55" s="13" t="n">
        <v>60</v>
      </c>
      <c r="E55" s="14" t="n">
        <f aca="false">C55*D55/100</f>
        <v>9</v>
      </c>
      <c r="F55" s="15" t="s">
        <v>145</v>
      </c>
      <c r="G55" s="16" t="s">
        <v>30</v>
      </c>
    </row>
    <row r="56" customFormat="false" ht="25.5" hidden="false" customHeight="true" outlineLevel="0" collapsed="false">
      <c r="A56" s="17" t="s">
        <v>151</v>
      </c>
      <c r="B56" s="18" t="s">
        <v>152</v>
      </c>
      <c r="C56" s="19" t="n">
        <v>12</v>
      </c>
      <c r="D56" s="13" t="n">
        <v>62</v>
      </c>
      <c r="E56" s="20" t="n">
        <f aca="false">C56*D56/100</f>
        <v>7.44</v>
      </c>
      <c r="F56" s="21" t="s">
        <v>145</v>
      </c>
      <c r="G56" s="16" t="s">
        <v>30</v>
      </c>
    </row>
    <row r="57" customFormat="false" ht="25.5" hidden="false" customHeight="true" outlineLevel="0" collapsed="false">
      <c r="A57" s="10" t="s">
        <v>153</v>
      </c>
      <c r="B57" s="11" t="s">
        <v>154</v>
      </c>
      <c r="C57" s="12" t="n">
        <v>12</v>
      </c>
      <c r="D57" s="13" t="n">
        <v>58</v>
      </c>
      <c r="E57" s="14" t="n">
        <f aca="false">C57*D57/100</f>
        <v>6.96</v>
      </c>
      <c r="F57" s="15" t="s">
        <v>155</v>
      </c>
      <c r="G57" s="16" t="s">
        <v>30</v>
      </c>
    </row>
    <row r="58" customFormat="false" ht="25.5" hidden="false" customHeight="true" outlineLevel="0" collapsed="false">
      <c r="A58" s="17" t="s">
        <v>156</v>
      </c>
      <c r="B58" s="18" t="s">
        <v>157</v>
      </c>
      <c r="C58" s="19" t="n">
        <v>11</v>
      </c>
      <c r="D58" s="13" t="n">
        <v>70</v>
      </c>
      <c r="E58" s="20" t="n">
        <f aca="false">C58*D58/100</f>
        <v>7.7</v>
      </c>
      <c r="F58" s="21" t="s">
        <v>158</v>
      </c>
      <c r="G58" s="16" t="s">
        <v>30</v>
      </c>
    </row>
    <row r="59" customFormat="false" ht="25.5" hidden="false" customHeight="true" outlineLevel="0" collapsed="false">
      <c r="A59" s="10" t="s">
        <v>159</v>
      </c>
      <c r="B59" s="11" t="s">
        <v>160</v>
      </c>
      <c r="C59" s="12" t="n">
        <v>10</v>
      </c>
      <c r="D59" s="13" t="n">
        <v>56</v>
      </c>
      <c r="E59" s="14" t="n">
        <f aca="false">C59*D59/100</f>
        <v>5.6</v>
      </c>
      <c r="F59" s="15" t="s">
        <v>145</v>
      </c>
      <c r="G59" s="16" t="s">
        <v>30</v>
      </c>
    </row>
    <row r="60" customFormat="false" ht="19.5" hidden="false" customHeight="true" outlineLevel="0" collapsed="false">
      <c r="A60" s="24" t="s">
        <v>61</v>
      </c>
      <c r="B60" s="25" t="s">
        <v>62</v>
      </c>
      <c r="C60" s="26" t="n">
        <f aca="false">SUM(C53:C59)</f>
        <v>100</v>
      </c>
      <c r="D60" s="27" t="n">
        <f aca="false">SUMPRODUCT(C53:C59,D53:D59)/SUM(C53:C59)</f>
        <v>61.76</v>
      </c>
      <c r="E60" s="24"/>
      <c r="F60" s="25"/>
      <c r="G60" s="25"/>
    </row>
    <row r="62" customFormat="false" ht="19.5" hidden="false" customHeight="true" outlineLevel="0" collapsed="false">
      <c r="A62" s="7" t="s">
        <v>161</v>
      </c>
      <c r="B62" s="7"/>
      <c r="C62" s="8" t="s">
        <v>162</v>
      </c>
      <c r="D62" s="9"/>
      <c r="E62" s="9"/>
      <c r="F62" s="9"/>
      <c r="G62" s="9"/>
    </row>
    <row r="63" customFormat="false" ht="25.5" hidden="false" customHeight="true" outlineLevel="0" collapsed="false">
      <c r="A63" s="10" t="s">
        <v>163</v>
      </c>
      <c r="B63" s="11" t="s">
        <v>164</v>
      </c>
      <c r="C63" s="12" t="n">
        <v>22</v>
      </c>
      <c r="D63" s="13" t="n">
        <v>68</v>
      </c>
      <c r="E63" s="14" t="n">
        <f aca="false">C63*D63/100</f>
        <v>14.96</v>
      </c>
      <c r="F63" s="15" t="s">
        <v>165</v>
      </c>
      <c r="G63" s="16" t="s">
        <v>30</v>
      </c>
    </row>
    <row r="64" customFormat="false" ht="25.5" hidden="false" customHeight="true" outlineLevel="0" collapsed="false">
      <c r="A64" s="17" t="s">
        <v>166</v>
      </c>
      <c r="B64" s="18" t="s">
        <v>167</v>
      </c>
      <c r="C64" s="19" t="n">
        <v>20</v>
      </c>
      <c r="D64" s="13" t="n">
        <v>58</v>
      </c>
      <c r="E64" s="20" t="n">
        <f aca="false">C64*D64/100</f>
        <v>11.6</v>
      </c>
      <c r="F64" s="21" t="s">
        <v>72</v>
      </c>
      <c r="G64" s="22" t="s">
        <v>34</v>
      </c>
    </row>
    <row r="65" customFormat="false" ht="25.5" hidden="false" customHeight="true" outlineLevel="0" collapsed="false">
      <c r="A65" s="10" t="s">
        <v>168</v>
      </c>
      <c r="B65" s="11" t="s">
        <v>169</v>
      </c>
      <c r="C65" s="12" t="n">
        <v>14</v>
      </c>
      <c r="D65" s="13" t="n">
        <v>80</v>
      </c>
      <c r="E65" s="14" t="n">
        <f aca="false">C65*D65/100</f>
        <v>11.2</v>
      </c>
      <c r="F65" s="15" t="s">
        <v>170</v>
      </c>
      <c r="G65" s="16" t="s">
        <v>30</v>
      </c>
    </row>
    <row r="66" customFormat="false" ht="25.5" hidden="false" customHeight="true" outlineLevel="0" collapsed="false">
      <c r="A66" s="17" t="s">
        <v>171</v>
      </c>
      <c r="B66" s="18" t="s">
        <v>172</v>
      </c>
      <c r="C66" s="19" t="n">
        <v>10</v>
      </c>
      <c r="D66" s="13" t="n">
        <v>64</v>
      </c>
      <c r="E66" s="20" t="n">
        <f aca="false">C66*D66/100</f>
        <v>6.4</v>
      </c>
      <c r="F66" s="21" t="s">
        <v>173</v>
      </c>
      <c r="G66" s="22" t="s">
        <v>34</v>
      </c>
    </row>
    <row r="67" customFormat="false" ht="25.5" hidden="false" customHeight="true" outlineLevel="0" collapsed="false">
      <c r="A67" s="10" t="s">
        <v>174</v>
      </c>
      <c r="B67" s="11" t="s">
        <v>175</v>
      </c>
      <c r="C67" s="12" t="n">
        <v>12</v>
      </c>
      <c r="D67" s="13" t="n">
        <v>66</v>
      </c>
      <c r="E67" s="14" t="n">
        <f aca="false">C67*D67/100</f>
        <v>7.92</v>
      </c>
      <c r="F67" s="15" t="s">
        <v>122</v>
      </c>
      <c r="G67" s="22" t="s">
        <v>34</v>
      </c>
    </row>
    <row r="68" customFormat="false" ht="25.5" hidden="false" customHeight="true" outlineLevel="0" collapsed="false">
      <c r="A68" s="17" t="s">
        <v>176</v>
      </c>
      <c r="B68" s="18" t="s">
        <v>177</v>
      </c>
      <c r="C68" s="19" t="n">
        <v>22</v>
      </c>
      <c r="D68" s="13" t="n">
        <v>42</v>
      </c>
      <c r="E68" s="20" t="n">
        <f aca="false">C68*D68/100</f>
        <v>9.24</v>
      </c>
      <c r="F68" s="21" t="s">
        <v>178</v>
      </c>
      <c r="G68" s="22" t="s">
        <v>34</v>
      </c>
    </row>
    <row r="69" customFormat="false" ht="19.5" hidden="false" customHeight="true" outlineLevel="0" collapsed="false">
      <c r="A69" s="24" t="s">
        <v>61</v>
      </c>
      <c r="B69" s="25" t="s">
        <v>62</v>
      </c>
      <c r="C69" s="26" t="n">
        <f aca="false">SUM(C63:C68)</f>
        <v>100</v>
      </c>
      <c r="D69" s="27" t="n">
        <f aca="false">SUMPRODUCT(C63:C68,D63:D68)/SUM(C63:C68)</f>
        <v>61.32</v>
      </c>
      <c r="E69" s="24"/>
      <c r="F69" s="25"/>
      <c r="G69" s="25"/>
    </row>
    <row r="71" customFormat="false" ht="19.5" hidden="false" customHeight="true" outlineLevel="0" collapsed="false">
      <c r="A71" s="7" t="s">
        <v>179</v>
      </c>
      <c r="B71" s="7"/>
      <c r="C71" s="8" t="s">
        <v>180</v>
      </c>
      <c r="D71" s="9"/>
      <c r="E71" s="9"/>
      <c r="F71" s="9"/>
      <c r="G71" s="9"/>
    </row>
    <row r="72" customFormat="false" ht="25.5" hidden="false" customHeight="true" outlineLevel="0" collapsed="false">
      <c r="A72" s="17" t="s">
        <v>181</v>
      </c>
      <c r="B72" s="18" t="s">
        <v>182</v>
      </c>
      <c r="C72" s="19" t="n">
        <v>18</v>
      </c>
      <c r="D72" s="13" t="n">
        <v>64</v>
      </c>
      <c r="E72" s="20" t="n">
        <f aca="false">C72*D72/100</f>
        <v>11.52</v>
      </c>
      <c r="F72" s="21" t="s">
        <v>183</v>
      </c>
      <c r="G72" s="16" t="s">
        <v>30</v>
      </c>
    </row>
    <row r="73" customFormat="false" ht="25.5" hidden="false" customHeight="true" outlineLevel="0" collapsed="false">
      <c r="A73" s="10" t="s">
        <v>184</v>
      </c>
      <c r="B73" s="11" t="s">
        <v>185</v>
      </c>
      <c r="C73" s="12" t="n">
        <v>12</v>
      </c>
      <c r="D73" s="13" t="n">
        <v>70</v>
      </c>
      <c r="E73" s="14" t="n">
        <f aca="false">C73*D73/100</f>
        <v>8.4</v>
      </c>
      <c r="F73" s="15" t="s">
        <v>186</v>
      </c>
      <c r="G73" s="16" t="s">
        <v>30</v>
      </c>
    </row>
    <row r="74" customFormat="false" ht="25.5" hidden="false" customHeight="true" outlineLevel="0" collapsed="false">
      <c r="A74" s="17" t="s">
        <v>187</v>
      </c>
      <c r="B74" s="18" t="s">
        <v>188</v>
      </c>
      <c r="C74" s="19" t="n">
        <v>18</v>
      </c>
      <c r="D74" s="13" t="n">
        <v>60</v>
      </c>
      <c r="E74" s="20" t="n">
        <f aca="false">C74*D74/100</f>
        <v>10.8</v>
      </c>
      <c r="F74" s="21" t="s">
        <v>189</v>
      </c>
      <c r="G74" s="22" t="s">
        <v>34</v>
      </c>
    </row>
    <row r="75" customFormat="false" ht="25.5" hidden="false" customHeight="true" outlineLevel="0" collapsed="false">
      <c r="A75" s="10" t="s">
        <v>190</v>
      </c>
      <c r="B75" s="11" t="s">
        <v>191</v>
      </c>
      <c r="C75" s="12" t="n">
        <v>16</v>
      </c>
      <c r="D75" s="13" t="n">
        <v>58</v>
      </c>
      <c r="E75" s="14" t="n">
        <f aca="false">C75*D75/100</f>
        <v>9.28</v>
      </c>
      <c r="F75" s="15" t="s">
        <v>192</v>
      </c>
      <c r="G75" s="22" t="s">
        <v>34</v>
      </c>
    </row>
    <row r="76" customFormat="false" ht="25.5" hidden="false" customHeight="true" outlineLevel="0" collapsed="false">
      <c r="A76" s="17" t="s">
        <v>193</v>
      </c>
      <c r="B76" s="18" t="s">
        <v>194</v>
      </c>
      <c r="C76" s="19" t="n">
        <v>8</v>
      </c>
      <c r="D76" s="13" t="n">
        <v>68</v>
      </c>
      <c r="E76" s="20" t="n">
        <f aca="false">C76*D76/100</f>
        <v>5.44</v>
      </c>
      <c r="F76" s="21" t="s">
        <v>195</v>
      </c>
      <c r="G76" s="16" t="s">
        <v>30</v>
      </c>
    </row>
    <row r="77" customFormat="false" ht="25.5" hidden="false" customHeight="true" outlineLevel="0" collapsed="false">
      <c r="A77" s="10" t="s">
        <v>196</v>
      </c>
      <c r="B77" s="11" t="s">
        <v>197</v>
      </c>
      <c r="C77" s="12" t="n">
        <v>10</v>
      </c>
      <c r="D77" s="13" t="n">
        <v>60</v>
      </c>
      <c r="E77" s="14" t="n">
        <f aca="false">C77*D77/100</f>
        <v>6</v>
      </c>
      <c r="F77" s="15" t="s">
        <v>48</v>
      </c>
      <c r="G77" s="22" t="s">
        <v>34</v>
      </c>
    </row>
    <row r="78" customFormat="false" ht="25.5" hidden="false" customHeight="true" outlineLevel="0" collapsed="false">
      <c r="A78" s="17" t="s">
        <v>198</v>
      </c>
      <c r="B78" s="18" t="s">
        <v>199</v>
      </c>
      <c r="C78" s="19" t="n">
        <v>18</v>
      </c>
      <c r="D78" s="13" t="n">
        <v>54</v>
      </c>
      <c r="E78" s="20" t="n">
        <f aca="false">C78*D78/100</f>
        <v>9.72</v>
      </c>
      <c r="F78" s="21" t="s">
        <v>200</v>
      </c>
      <c r="G78" s="16" t="s">
        <v>30</v>
      </c>
    </row>
    <row r="79" customFormat="false" ht="19.5" hidden="false" customHeight="true" outlineLevel="0" collapsed="false">
      <c r="A79" s="24" t="s">
        <v>61</v>
      </c>
      <c r="B79" s="25" t="s">
        <v>62</v>
      </c>
      <c r="C79" s="26" t="n">
        <f aca="false">SUM(C72:C78)</f>
        <v>100</v>
      </c>
      <c r="D79" s="27" t="n">
        <f aca="false">SUMPRODUCT(C72:C78,D72:D78)/SUM(C72:C78)</f>
        <v>61.16</v>
      </c>
      <c r="E79" s="24"/>
      <c r="F79" s="25"/>
      <c r="G79" s="25"/>
    </row>
    <row r="81" customFormat="false" ht="19.5" hidden="false" customHeight="true" outlineLevel="0" collapsed="false">
      <c r="A81" s="7" t="s">
        <v>201</v>
      </c>
      <c r="B81" s="7"/>
      <c r="C81" s="8" t="s">
        <v>202</v>
      </c>
      <c r="D81" s="9"/>
      <c r="E81" s="9"/>
      <c r="F81" s="9"/>
      <c r="G81" s="9"/>
    </row>
    <row r="82" customFormat="false" ht="25.5" hidden="false" customHeight="true" outlineLevel="0" collapsed="false">
      <c r="A82" s="17" t="s">
        <v>203</v>
      </c>
      <c r="B82" s="18" t="s">
        <v>204</v>
      </c>
      <c r="C82" s="19" t="n">
        <v>25</v>
      </c>
      <c r="D82" s="13" t="n">
        <v>88</v>
      </c>
      <c r="E82" s="20" t="n">
        <f aca="false">C82*D82/100</f>
        <v>22</v>
      </c>
      <c r="F82" s="21" t="s">
        <v>205</v>
      </c>
      <c r="G82" s="16" t="s">
        <v>30</v>
      </c>
    </row>
    <row r="83" customFormat="false" ht="25.5" hidden="false" customHeight="true" outlineLevel="0" collapsed="false">
      <c r="A83" s="10" t="s">
        <v>206</v>
      </c>
      <c r="B83" s="11" t="s">
        <v>207</v>
      </c>
      <c r="C83" s="12" t="n">
        <v>18</v>
      </c>
      <c r="D83" s="13" t="n">
        <v>55</v>
      </c>
      <c r="E83" s="14" t="n">
        <f aca="false">C83*D83/100</f>
        <v>9.9</v>
      </c>
      <c r="F83" s="15" t="s">
        <v>208</v>
      </c>
      <c r="G83" s="16" t="s">
        <v>30</v>
      </c>
    </row>
    <row r="84" customFormat="false" ht="25.5" hidden="false" customHeight="true" outlineLevel="0" collapsed="false">
      <c r="A84" s="17" t="s">
        <v>209</v>
      </c>
      <c r="B84" s="18" t="s">
        <v>210</v>
      </c>
      <c r="C84" s="19" t="n">
        <v>12</v>
      </c>
      <c r="D84" s="13" t="n">
        <v>80</v>
      </c>
      <c r="E84" s="20" t="n">
        <f aca="false">C84*D84/100</f>
        <v>9.6</v>
      </c>
      <c r="F84" s="21" t="s">
        <v>211</v>
      </c>
      <c r="G84" s="16" t="s">
        <v>30</v>
      </c>
    </row>
    <row r="85" customFormat="false" ht="25.5" hidden="false" customHeight="true" outlineLevel="0" collapsed="false">
      <c r="A85" s="10" t="s">
        <v>212</v>
      </c>
      <c r="B85" s="11" t="s">
        <v>213</v>
      </c>
      <c r="C85" s="12" t="n">
        <v>15</v>
      </c>
      <c r="D85" s="13" t="n">
        <v>60</v>
      </c>
      <c r="E85" s="14" t="n">
        <f aca="false">C85*D85/100</f>
        <v>9</v>
      </c>
      <c r="F85" s="15" t="s">
        <v>214</v>
      </c>
      <c r="G85" s="16" t="s">
        <v>30</v>
      </c>
    </row>
    <row r="86" customFormat="false" ht="25.5" hidden="false" customHeight="true" outlineLevel="0" collapsed="false">
      <c r="A86" s="17" t="s">
        <v>215</v>
      </c>
      <c r="B86" s="18" t="s">
        <v>216</v>
      </c>
      <c r="C86" s="19" t="n">
        <v>15</v>
      </c>
      <c r="D86" s="13" t="n">
        <v>66</v>
      </c>
      <c r="E86" s="20" t="n">
        <f aca="false">C86*D86/100</f>
        <v>9.9</v>
      </c>
      <c r="F86" s="21" t="s">
        <v>217</v>
      </c>
      <c r="G86" s="16" t="s">
        <v>30</v>
      </c>
    </row>
    <row r="87" customFormat="false" ht="25.5" hidden="false" customHeight="true" outlineLevel="0" collapsed="false">
      <c r="A87" s="10" t="s">
        <v>218</v>
      </c>
      <c r="B87" s="11" t="s">
        <v>219</v>
      </c>
      <c r="C87" s="12" t="n">
        <v>15</v>
      </c>
      <c r="D87" s="13" t="n">
        <v>70</v>
      </c>
      <c r="E87" s="14" t="n">
        <f aca="false">C87*D87/100</f>
        <v>10.5</v>
      </c>
      <c r="F87" s="15" t="s">
        <v>51</v>
      </c>
      <c r="G87" s="22" t="s">
        <v>34</v>
      </c>
    </row>
    <row r="88" customFormat="false" ht="19.5" hidden="false" customHeight="true" outlineLevel="0" collapsed="false">
      <c r="A88" s="24" t="s">
        <v>61</v>
      </c>
      <c r="B88" s="25" t="s">
        <v>62</v>
      </c>
      <c r="C88" s="26" t="n">
        <f aca="false">SUM(C82:C87)</f>
        <v>100</v>
      </c>
      <c r="D88" s="27" t="n">
        <f aca="false">SUMPRODUCT(C82:C87,D82:D87)/SUM(C82:C87)</f>
        <v>70.9</v>
      </c>
      <c r="E88" s="24"/>
      <c r="F88" s="25"/>
      <c r="G88" s="25"/>
    </row>
  </sheetData>
  <mergeCells count="8">
    <mergeCell ref="A2:B2"/>
    <mergeCell ref="A17:B17"/>
    <mergeCell ref="A31:B31"/>
    <mergeCell ref="A41:B41"/>
    <mergeCell ref="A52:B52"/>
    <mergeCell ref="A62:B62"/>
    <mergeCell ref="A71:B71"/>
    <mergeCell ref="A81:B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9"/>
  </cols>
  <sheetData>
    <row r="1" customFormat="false" ht="24" hidden="false" customHeight="true" outlineLevel="0" collapsed="false">
      <c r="A1" s="28" t="s">
        <v>220</v>
      </c>
      <c r="B1" s="28"/>
      <c r="C1" s="28"/>
      <c r="D1" s="28"/>
      <c r="E1" s="28"/>
      <c r="F1" s="28"/>
      <c r="G1" s="28"/>
      <c r="H1" s="28"/>
      <c r="I1" s="28"/>
    </row>
    <row r="3" customFormat="false" ht="42" hidden="false" customHeight="true" outlineLevel="0" collapsed="false">
      <c r="A3" s="29" t="s">
        <v>221</v>
      </c>
      <c r="B3" s="29"/>
      <c r="C3" s="29"/>
      <c r="D3" s="29"/>
      <c r="E3" s="29"/>
      <c r="F3" s="29"/>
      <c r="G3" s="29"/>
      <c r="H3" s="29"/>
      <c r="I3" s="29"/>
    </row>
    <row r="4" customFormat="false" ht="42" hidden="false" customHeight="true" outlineLevel="0" collapsed="false">
      <c r="A4" s="29" t="s">
        <v>222</v>
      </c>
      <c r="B4" s="29"/>
      <c r="C4" s="29"/>
      <c r="D4" s="29"/>
      <c r="E4" s="29"/>
      <c r="F4" s="29"/>
      <c r="G4" s="29"/>
      <c r="H4" s="29"/>
      <c r="I4" s="29"/>
    </row>
    <row r="5" customFormat="false" ht="42" hidden="false" customHeight="true" outlineLevel="0" collapsed="false">
      <c r="A5" s="29" t="s">
        <v>223</v>
      </c>
      <c r="B5" s="29"/>
      <c r="C5" s="29"/>
      <c r="D5" s="29"/>
      <c r="E5" s="29"/>
      <c r="F5" s="29"/>
      <c r="G5" s="29"/>
      <c r="H5" s="29"/>
      <c r="I5" s="29"/>
    </row>
    <row r="7" customFormat="false" ht="30" hidden="false" customHeight="true" outlineLevel="0" collapsed="false">
      <c r="A7" s="30" t="s">
        <v>224</v>
      </c>
      <c r="B7" s="30" t="s">
        <v>225</v>
      </c>
      <c r="C7" s="30" t="s">
        <v>226</v>
      </c>
      <c r="D7" s="30" t="s">
        <v>227</v>
      </c>
      <c r="E7" s="30" t="s">
        <v>228</v>
      </c>
      <c r="F7" s="30" t="s">
        <v>229</v>
      </c>
      <c r="G7" s="30" t="s">
        <v>230</v>
      </c>
      <c r="H7" s="30" t="s">
        <v>231</v>
      </c>
      <c r="I7" s="30" t="s">
        <v>232</v>
      </c>
    </row>
    <row r="8" customFormat="false" ht="45.75" hidden="false" customHeight="true" outlineLevel="0" collapsed="false">
      <c r="A8" s="31" t="s">
        <v>233</v>
      </c>
      <c r="B8" s="32" t="s">
        <v>234</v>
      </c>
      <c r="C8" s="21" t="s">
        <v>235</v>
      </c>
      <c r="D8" s="21" t="s">
        <v>236</v>
      </c>
      <c r="E8" s="21" t="s">
        <v>237</v>
      </c>
      <c r="F8" s="21" t="s">
        <v>238</v>
      </c>
      <c r="G8" s="21" t="s">
        <v>239</v>
      </c>
      <c r="H8" s="21" t="s">
        <v>240</v>
      </c>
      <c r="I8" s="33" t="s">
        <v>241</v>
      </c>
    </row>
    <row r="9" customFormat="false" ht="45.75" hidden="false" customHeight="true" outlineLevel="0" collapsed="false">
      <c r="A9" s="34" t="s">
        <v>242</v>
      </c>
      <c r="B9" s="35" t="s">
        <v>243</v>
      </c>
      <c r="C9" s="15" t="s">
        <v>244</v>
      </c>
      <c r="D9" s="15" t="s">
        <v>245</v>
      </c>
      <c r="E9" s="15" t="s">
        <v>246</v>
      </c>
      <c r="F9" s="15" t="s">
        <v>247</v>
      </c>
      <c r="G9" s="15" t="s">
        <v>248</v>
      </c>
      <c r="H9" s="15" t="s">
        <v>249</v>
      </c>
      <c r="I9" s="36" t="s">
        <v>250</v>
      </c>
    </row>
    <row r="10" customFormat="false" ht="45.75" hidden="false" customHeight="true" outlineLevel="0" collapsed="false">
      <c r="A10" s="31" t="s">
        <v>251</v>
      </c>
      <c r="B10" s="32" t="s">
        <v>252</v>
      </c>
      <c r="C10" s="21" t="s">
        <v>253</v>
      </c>
      <c r="D10" s="21" t="s">
        <v>254</v>
      </c>
      <c r="E10" s="21" t="s">
        <v>255</v>
      </c>
      <c r="F10" s="21" t="s">
        <v>256</v>
      </c>
      <c r="G10" s="21" t="s">
        <v>257</v>
      </c>
      <c r="H10" s="21" t="s">
        <v>258</v>
      </c>
      <c r="I10" s="36" t="s">
        <v>250</v>
      </c>
    </row>
    <row r="11" customFormat="false" ht="45.75" hidden="false" customHeight="true" outlineLevel="0" collapsed="false">
      <c r="A11" s="34" t="s">
        <v>259</v>
      </c>
      <c r="B11" s="35" t="s">
        <v>260</v>
      </c>
      <c r="C11" s="15" t="s">
        <v>261</v>
      </c>
      <c r="D11" s="15" t="s">
        <v>262</v>
      </c>
      <c r="E11" s="15" t="s">
        <v>263</v>
      </c>
      <c r="F11" s="15" t="s">
        <v>264</v>
      </c>
      <c r="G11" s="15" t="s">
        <v>265</v>
      </c>
      <c r="H11" s="15" t="s">
        <v>266</v>
      </c>
      <c r="I11" s="33" t="s">
        <v>241</v>
      </c>
    </row>
    <row r="12" customFormat="false" ht="45.75" hidden="false" customHeight="true" outlineLevel="0" collapsed="false">
      <c r="A12" s="31" t="s">
        <v>267</v>
      </c>
      <c r="B12" s="32" t="s">
        <v>268</v>
      </c>
      <c r="C12" s="21" t="s">
        <v>269</v>
      </c>
      <c r="D12" s="21" t="s">
        <v>270</v>
      </c>
      <c r="E12" s="21" t="s">
        <v>271</v>
      </c>
      <c r="F12" s="21" t="s">
        <v>272</v>
      </c>
      <c r="G12" s="21" t="s">
        <v>273</v>
      </c>
      <c r="H12" s="21" t="s">
        <v>274</v>
      </c>
      <c r="I12" s="33" t="s">
        <v>241</v>
      </c>
    </row>
    <row r="13" customFormat="false" ht="45.75" hidden="false" customHeight="true" outlineLevel="0" collapsed="false">
      <c r="A13" s="34" t="s">
        <v>275</v>
      </c>
      <c r="B13" s="35" t="s">
        <v>276</v>
      </c>
      <c r="C13" s="15" t="s">
        <v>277</v>
      </c>
      <c r="D13" s="15" t="s">
        <v>278</v>
      </c>
      <c r="E13" s="15" t="s">
        <v>279</v>
      </c>
      <c r="F13" s="15" t="s">
        <v>280</v>
      </c>
      <c r="G13" s="15" t="s">
        <v>281</v>
      </c>
      <c r="H13" s="15" t="s">
        <v>282</v>
      </c>
      <c r="I13" s="33" t="s">
        <v>241</v>
      </c>
    </row>
    <row r="14" customFormat="false" ht="45.75" hidden="false" customHeight="true" outlineLevel="0" collapsed="false">
      <c r="A14" s="31" t="s">
        <v>283</v>
      </c>
      <c r="B14" s="32" t="s">
        <v>284</v>
      </c>
      <c r="C14" s="21" t="s">
        <v>285</v>
      </c>
      <c r="D14" s="21" t="s">
        <v>278</v>
      </c>
      <c r="E14" s="21" t="s">
        <v>286</v>
      </c>
      <c r="F14" s="21" t="s">
        <v>287</v>
      </c>
      <c r="G14" s="21" t="s">
        <v>288</v>
      </c>
      <c r="H14" s="21" t="s">
        <v>289</v>
      </c>
      <c r="I14" s="33" t="s">
        <v>241</v>
      </c>
    </row>
    <row r="15" customFormat="false" ht="45.75" hidden="false" customHeight="true" outlineLevel="0" collapsed="false">
      <c r="A15" s="34" t="s">
        <v>290</v>
      </c>
      <c r="B15" s="35" t="s">
        <v>291</v>
      </c>
      <c r="C15" s="15" t="s">
        <v>292</v>
      </c>
      <c r="D15" s="15" t="s">
        <v>293</v>
      </c>
      <c r="E15" s="15" t="s">
        <v>294</v>
      </c>
      <c r="F15" s="15" t="s">
        <v>295</v>
      </c>
      <c r="G15" s="15" t="s">
        <v>296</v>
      </c>
      <c r="H15" s="15" t="s">
        <v>297</v>
      </c>
      <c r="I15" s="33" t="s">
        <v>241</v>
      </c>
    </row>
    <row r="17" customFormat="false" ht="19.5" hidden="false" customHeight="true" outlineLevel="0" collapsed="false">
      <c r="A17" s="37" t="s">
        <v>298</v>
      </c>
      <c r="B17" s="37"/>
      <c r="C17" s="37"/>
      <c r="D17" s="37"/>
      <c r="E17" s="37"/>
      <c r="F17" s="37"/>
      <c r="G17" s="37"/>
      <c r="H17" s="37"/>
      <c r="I17" s="37"/>
    </row>
    <row r="18" customFormat="false" ht="30" hidden="false" customHeight="true" outlineLevel="0" collapsed="false">
      <c r="A18" s="38" t="s">
        <v>299</v>
      </c>
      <c r="B18" s="38"/>
      <c r="C18" s="39" t="s">
        <v>300</v>
      </c>
      <c r="D18" s="39"/>
      <c r="E18" s="39"/>
      <c r="F18" s="39"/>
      <c r="G18" s="39"/>
      <c r="H18" s="39"/>
      <c r="I18" s="39"/>
    </row>
    <row r="19" customFormat="false" ht="30" hidden="false" customHeight="true" outlineLevel="0" collapsed="false">
      <c r="A19" s="40" t="s">
        <v>301</v>
      </c>
      <c r="B19" s="40"/>
      <c r="C19" s="41" t="s">
        <v>302</v>
      </c>
      <c r="D19" s="41"/>
      <c r="E19" s="41"/>
      <c r="F19" s="41"/>
      <c r="G19" s="41"/>
      <c r="H19" s="41"/>
      <c r="I19" s="41"/>
    </row>
    <row r="20" customFormat="false" ht="30" hidden="false" customHeight="true" outlineLevel="0" collapsed="false">
      <c r="A20" s="42" t="s">
        <v>303</v>
      </c>
      <c r="B20" s="42"/>
      <c r="C20" s="43" t="s">
        <v>304</v>
      </c>
      <c r="D20" s="43"/>
      <c r="E20" s="43"/>
      <c r="F20" s="43"/>
      <c r="G20" s="43"/>
      <c r="H20" s="43"/>
      <c r="I20" s="43"/>
    </row>
    <row r="22" customFormat="false" ht="15" hidden="false" customHeight="true" outlineLevel="0" collapsed="false">
      <c r="A22" s="29" t="s">
        <v>305</v>
      </c>
      <c r="B22" s="29"/>
      <c r="C22" s="29"/>
      <c r="D22" s="29"/>
      <c r="E22" s="29"/>
      <c r="F22" s="29"/>
      <c r="G22" s="29"/>
      <c r="H22" s="29"/>
      <c r="I22" s="29"/>
    </row>
    <row r="23" customFormat="false" ht="15" hidden="false" customHeight="false" outlineLevel="0" collapsed="false">
      <c r="A23" s="29"/>
      <c r="B23" s="29"/>
      <c r="C23" s="29"/>
      <c r="D23" s="29"/>
      <c r="E23" s="29"/>
      <c r="F23" s="29"/>
      <c r="G23" s="29"/>
      <c r="H23" s="29"/>
      <c r="I23" s="29"/>
    </row>
    <row r="24" customFormat="false" ht="15" hidden="false" customHeight="false" outlineLevel="0" collapsed="false">
      <c r="A24" s="29"/>
      <c r="B24" s="29"/>
      <c r="C24" s="29"/>
      <c r="D24" s="29"/>
      <c r="E24" s="29"/>
      <c r="F24" s="29"/>
      <c r="G24" s="29"/>
      <c r="H24" s="29"/>
      <c r="I24" s="29"/>
    </row>
  </sheetData>
  <mergeCells count="12">
    <mergeCell ref="A1:I1"/>
    <mergeCell ref="A3:I3"/>
    <mergeCell ref="A4:I4"/>
    <mergeCell ref="A5:I5"/>
    <mergeCell ref="A17:I17"/>
    <mergeCell ref="A18:B18"/>
    <mergeCell ref="C18:I18"/>
    <mergeCell ref="A19:B19"/>
    <mergeCell ref="C19:I19"/>
    <mergeCell ref="A20:B20"/>
    <mergeCell ref="C20:I20"/>
    <mergeCell ref="A22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7"/>
    <col collapsed="false" customWidth="true" hidden="false" outlineLevel="0" max="4" min="3" style="0" width="20"/>
  </cols>
  <sheetData>
    <row r="1" customFormat="false" ht="24" hidden="false" customHeight="true" outlineLevel="0" collapsed="false">
      <c r="A1" s="44" t="s">
        <v>306</v>
      </c>
    </row>
    <row r="3" customFormat="false" ht="30" hidden="false" customHeight="true" outlineLevel="0" collapsed="false">
      <c r="A3" s="6" t="s">
        <v>307</v>
      </c>
      <c r="B3" s="6" t="s">
        <v>308</v>
      </c>
      <c r="C3" s="6" t="s">
        <v>309</v>
      </c>
      <c r="D3" s="6" t="s">
        <v>310</v>
      </c>
    </row>
    <row r="4" customFormat="false" ht="19.5" hidden="false" customHeight="true" outlineLevel="0" collapsed="false">
      <c r="A4" s="45" t="s">
        <v>25</v>
      </c>
      <c r="B4" s="46" t="n">
        <v>22</v>
      </c>
      <c r="C4" s="47" t="n">
        <f aca="false">'Scoring Model'!D15</f>
        <v>57.83</v>
      </c>
      <c r="D4" s="48" t="n">
        <f aca="false">B4*C4/100</f>
        <v>12.7226</v>
      </c>
    </row>
    <row r="5" customFormat="false" ht="19.5" hidden="false" customHeight="true" outlineLevel="0" collapsed="false">
      <c r="A5" s="49" t="s">
        <v>63</v>
      </c>
      <c r="B5" s="50" t="n">
        <v>17</v>
      </c>
      <c r="C5" s="51" t="n">
        <f aca="false">'Scoring Model'!D29</f>
        <v>64.52</v>
      </c>
      <c r="D5" s="52" t="n">
        <f aca="false">B5*C5/100</f>
        <v>10.9684</v>
      </c>
    </row>
    <row r="6" customFormat="false" ht="19.5" hidden="false" customHeight="true" outlineLevel="0" collapsed="false">
      <c r="A6" s="45" t="s">
        <v>92</v>
      </c>
      <c r="B6" s="46" t="n">
        <v>11</v>
      </c>
      <c r="C6" s="47" t="n">
        <f aca="false">'Scoring Model'!D39</f>
        <v>66.76</v>
      </c>
      <c r="D6" s="48" t="n">
        <f aca="false">B6*C6/100</f>
        <v>7.3436</v>
      </c>
    </row>
    <row r="7" customFormat="false" ht="19.5" hidden="false" customHeight="true" outlineLevel="0" collapsed="false">
      <c r="A7" s="49" t="s">
        <v>115</v>
      </c>
      <c r="B7" s="50" t="n">
        <v>15</v>
      </c>
      <c r="C7" s="51" t="n">
        <f aca="false">'Scoring Model'!D50</f>
        <v>71.62</v>
      </c>
      <c r="D7" s="52" t="n">
        <f aca="false">B7*C7/100</f>
        <v>10.743</v>
      </c>
    </row>
    <row r="8" customFormat="false" ht="19.5" hidden="false" customHeight="true" outlineLevel="0" collapsed="false">
      <c r="A8" s="45" t="s">
        <v>141</v>
      </c>
      <c r="B8" s="46" t="n">
        <v>12</v>
      </c>
      <c r="C8" s="47" t="n">
        <f aca="false">'Scoring Model'!D60</f>
        <v>61.76</v>
      </c>
      <c r="D8" s="48" t="n">
        <f aca="false">B8*C8/100</f>
        <v>7.4112</v>
      </c>
    </row>
    <row r="9" customFormat="false" ht="19.5" hidden="false" customHeight="true" outlineLevel="0" collapsed="false">
      <c r="A9" s="49" t="s">
        <v>161</v>
      </c>
      <c r="B9" s="50" t="n">
        <v>7</v>
      </c>
      <c r="C9" s="51" t="n">
        <f aca="false">'Scoring Model'!D69</f>
        <v>61.32</v>
      </c>
      <c r="D9" s="52" t="n">
        <f aca="false">B9*C9/100</f>
        <v>4.2924</v>
      </c>
    </row>
    <row r="10" customFormat="false" ht="19.5" hidden="false" customHeight="true" outlineLevel="0" collapsed="false">
      <c r="A10" s="45" t="s">
        <v>179</v>
      </c>
      <c r="B10" s="46" t="n">
        <v>10</v>
      </c>
      <c r="C10" s="47" t="n">
        <f aca="false">'Scoring Model'!D79</f>
        <v>61.16</v>
      </c>
      <c r="D10" s="48" t="n">
        <f aca="false">B10*C10/100</f>
        <v>6.116</v>
      </c>
    </row>
    <row r="11" customFormat="false" ht="19.5" hidden="false" customHeight="true" outlineLevel="0" collapsed="false">
      <c r="A11" s="49" t="s">
        <v>201</v>
      </c>
      <c r="B11" s="50" t="n">
        <v>6</v>
      </c>
      <c r="C11" s="51" t="n">
        <f aca="false">'Scoring Model'!D88</f>
        <v>70.9</v>
      </c>
      <c r="D11" s="52" t="n">
        <f aca="false">B11*C11/100</f>
        <v>4.254</v>
      </c>
    </row>
    <row r="12" customFormat="false" ht="16.15" hidden="false" customHeight="false" outlineLevel="0" collapsed="false">
      <c r="A12" s="53" t="s">
        <v>311</v>
      </c>
      <c r="B12" s="54" t="n">
        <f aca="false">SUM(B4:B11)</f>
        <v>100</v>
      </c>
      <c r="C12" s="6"/>
      <c r="D12" s="55" t="n">
        <f aca="false">SUM(D4:D11)</f>
        <v>63.8512</v>
      </c>
    </row>
    <row r="14" customFormat="false" ht="15" hidden="false" customHeight="false" outlineLevel="0" collapsed="false">
      <c r="A14" s="56" t="s">
        <v>312</v>
      </c>
      <c r="B14" s="57" t="str">
        <f aca="false">IF(D12&gt;=90,"A — Exemplary",IF(D12&gt;=75,"B — Strong",IF(D12&gt;=60,"C — Needs work",IF(D12&gt;=40,"D — At risk","E — Critical"))))</f>
        <v>C — Needs work</v>
      </c>
      <c r="C14" s="57"/>
      <c r="D14" s="57"/>
    </row>
    <row r="15" customFormat="false" ht="15" hidden="false" customHeight="false" outlineLevel="0" collapsed="false">
      <c r="A15" s="58" t="s">
        <v>313</v>
      </c>
      <c r="B15" s="58" t="str">
        <f aca="false">IF(OR(INDEX('Scoring Model'!D:D,MATCH("*Keyboard operability*",'Scoring Model'!A:A,0))&lt;50,INDEX('Scoring Model'!D:D,MATCH("*HTTPS &amp; domain*",'Scoring Model'!A:A,0))&lt;50),"ACTIVE — critical failure caps band at C until fixed","Not triggered")</f>
        <v>ACTIVE — critical failure caps band at C until fixed</v>
      </c>
      <c r="C15" s="58"/>
      <c r="D15" s="58"/>
    </row>
    <row r="17" customFormat="false" ht="15" hidden="false" customHeight="true" outlineLevel="0" collapsed="false">
      <c r="A17" s="59" t="s">
        <v>314</v>
      </c>
      <c r="B17" s="59"/>
      <c r="C17" s="59"/>
      <c r="D17" s="59"/>
    </row>
    <row r="18" customFormat="false" ht="15" hidden="false" customHeight="false" outlineLevel="0" collapsed="false">
      <c r="A18" s="59"/>
      <c r="B18" s="59"/>
      <c r="C18" s="59"/>
      <c r="D18" s="59"/>
    </row>
  </sheetData>
  <mergeCells count="3">
    <mergeCell ref="B14:D14"/>
    <mergeCell ref="B15:D15"/>
    <mergeCell ref="A17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2026-07-07T02:33:31Z</dcterms:created>
  <dc:creator>openpyxl</dc:creator>
  <dc:description/>
  <dc:language>en-US</dc:language>
  <cp:lastModifiedBy/>
  <dcterms:modified xsi:type="dcterms:W3CDTF">2026-07-07T02:33:32Z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